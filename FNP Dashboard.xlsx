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jahnavi docs\EXCEL Projects\FNP---Excel-Project-main\fnp datasets\"/>
    </mc:Choice>
  </mc:AlternateContent>
  <xr:revisionPtr revIDLastSave="0" documentId="8_{DB2C8FC3-F2B7-47AB-A712-5FABC64C5719}" xr6:coauthVersionLast="47" xr6:coauthVersionMax="47" xr10:uidLastSave="{00000000-0000-0000-0000-000000000000}"/>
  <bookViews>
    <workbookView xWindow="-110" yWindow="-110" windowWidth="19420" windowHeight="11020" firstSheet="1" activeTab="5" xr2:uid="{F3DC79D3-54AA-4B09-ACF7-C0AD765FDCD1}"/>
  </bookViews>
  <sheets>
    <sheet name="fnp datasets" sheetId="2" state="hidden" r:id="rId1"/>
    <sheet name="Customers" sheetId="3" r:id="rId2"/>
    <sheet name="Orders" sheetId="4" r:id="rId3"/>
    <sheet name="Products" sheetId="5" r:id="rId4"/>
    <sheet name="Sheet2" sheetId="6" r:id="rId5"/>
    <sheet name="Dashboard" sheetId="7" r:id="rId6"/>
    <sheet name="Sheet1" sheetId="1" r:id="rId7"/>
  </sheets>
  <definedNames>
    <definedName name="ExternalData_1" localSheetId="0" hidden="1">'fnp datasets'!$A$1:$F$4</definedName>
    <definedName name="ExternalData_1" localSheetId="4" hidden="1">Sheet2!$A$3:$Q$137</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469" r:id="rId8"/>
    <pivotCache cacheId="1472" r:id="rId9"/>
    <pivotCache cacheId="1475" r:id="rId10"/>
    <pivotCache cacheId="1478" r:id="rId11"/>
    <pivotCache cacheId="1481" r:id="rId12"/>
    <pivotCache cacheId="1484" r:id="rId13"/>
    <pivotCache cacheId="1487" r:id="rId14"/>
  </pivotCaches>
  <fileRecoveryPr repairLoad="1"/>
  <extLst>
    <ext xmlns:x14="http://schemas.microsoft.com/office/spreadsheetml/2009/9/main" uri="{876F7934-8845-4945-9796-88D515C7AA90}">
      <x14:pivotCaches>
        <pivotCache cacheId="25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4"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a53d454-01d8-428a-875e-45025a313dc9" name="fnp datasets" connection="Query - fnp datasets"/>
          <x15:modelTable id="Customers_91b20a51-fdc3-44bd-885b-5fcc25bda3aa" name="Customers" connection="Query - Customers"/>
          <x15:modelTable id="Orders_7c0c7f61-1eca-4e70-a3cc-0e9863d6b122" name="Orders" connection="Query - Orders"/>
          <x15:modelTable id="Products_0c8fef64-066e-4de1-bbbc-e56b07d9f55d"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D2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039BA4-11A4-48A6-8D92-A99BF06CDB4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FD22A4A4-8184-4F89-9130-7A00871CF88C}" keepAlive="1" name="ModelConnection_ExternalData_11" description="Data Model" type="5" refreshedVersion="8" minRefreshableVersion="5" saveData="1">
    <dbPr connection="Data Model Connection" command="DRILLTHROUGH MAXROWS 1000 SELECT FROM [Model] WHERE (([Measures].[Sum of Revenue],[Orders].[Month Name].&amp;[November]))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Date)]" commandType="4"/>
    <extLst>
      <ext xmlns:x15="http://schemas.microsoft.com/office/spreadsheetml/2010/11/main" uri="{DE250136-89BD-433C-8126-D09CA5730AF9}">
        <x15:connection id="" model="1"/>
      </ext>
    </extLst>
  </connection>
  <connection id="3" xr16:uid="{F552215D-21C2-4275-8544-9657EB71934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4EA308E-B6AC-43E3-B650-12B4820F56F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4F31B880-C4CA-435D-8C28-F6DA7666EBA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5BCF6A03-4B2F-47E6-85C1-8AAD26E589AC}" name="Query - Customers" description="Connection to the 'Customers' query in the workbook." type="100" refreshedVersion="8" minRefreshableVersion="5">
    <extLst>
      <ext xmlns:x15="http://schemas.microsoft.com/office/spreadsheetml/2010/11/main" uri="{DE250136-89BD-433C-8126-D09CA5730AF9}">
        <x15:connection id="57289c16-5ca0-4755-8c5d-71cb1ac7f7ec"/>
      </ext>
    </extLst>
  </connection>
  <connection id="7" xr16:uid="{36114B42-CA5B-4E99-9763-6375D9129138}" name="Query - fnp datasets" description="Connection to the 'fnp datasets' query in the workbook." type="100" refreshedVersion="8" minRefreshableVersion="5">
    <extLst>
      <ext xmlns:x15="http://schemas.microsoft.com/office/spreadsheetml/2010/11/main" uri="{DE250136-89BD-433C-8126-D09CA5730AF9}">
        <x15:connection id="23c14a2b-508d-42ef-87be-6d5d7927963d"/>
      </ext>
    </extLst>
  </connection>
  <connection id="8" xr16:uid="{11207E05-19D5-4E43-A755-CC8927D72FFD}" name="Query - Orders" description="Connection to the 'Orders' query in the workbook." type="100" refreshedVersion="8" minRefreshableVersion="5">
    <extLst>
      <ext xmlns:x15="http://schemas.microsoft.com/office/spreadsheetml/2010/11/main" uri="{DE250136-89BD-433C-8126-D09CA5730AF9}">
        <x15:connection id="6e92e41a-6555-496f-b014-f85f820999a7"/>
      </ext>
    </extLst>
  </connection>
  <connection id="9" xr16:uid="{36663269-905F-4FB1-8085-EA032CC5FB26}" name="Query - Products" description="Connection to the 'Products' query in the workbook." type="100" refreshedVersion="8" minRefreshableVersion="5">
    <extLst>
      <ext xmlns:x15="http://schemas.microsoft.com/office/spreadsheetml/2010/11/main" uri="{DE250136-89BD-433C-8126-D09CA5730AF9}">
        <x15:connection id="16fb15c0-ce5b-45ab-b780-bc5614be1426"/>
      </ext>
    </extLst>
  </connection>
  <connection id="10" xr16:uid="{2EF930E7-223C-4517-92DA-A64E18E0C0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<sst xmlns="http://schemas.openxmlformats.org/spreadsheetml/2006/main" count="6776" uniqueCount="1037">
  <si>
    <t>Name</t>
  </si>
  <si>
    <t>Extension</t>
  </si>
  <si>
    <t>Date accessed</t>
  </si>
  <si>
    <t>Date modified</t>
  </si>
  <si>
    <t>Date created</t>
  </si>
  <si>
    <t>Folder Path</t>
  </si>
  <si>
    <t>customers.csv</t>
  </si>
  <si>
    <t>.csv</t>
  </si>
  <si>
    <t>D:\jahnavi docs\EXCEL Projects\FNP---Excel-Project-main\fnp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</si>
  <si>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</si>
  <si>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</si>
  <si>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</si>
  <si>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</si>
  <si>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</si>
  <si>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</si>
  <si>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</si>
  <si>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</si>
  <si>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</si>
  <si>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</si>
  <si>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</si>
  <si>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</si>
  <si>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</si>
  <si>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</si>
  <si>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</si>
  <si>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</si>
  <si>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</si>
  <si>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</si>
  <si>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</si>
  <si>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</si>
  <si>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</si>
  <si>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</si>
  <si>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</si>
  <si>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</si>
  <si>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</si>
  <si>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</si>
  <si>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</si>
  <si>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</si>
  <si>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</si>
  <si>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</si>
  <si>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</si>
  <si>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</si>
  <si>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</si>
  <si>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</si>
  <si>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</si>
  <si>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</si>
  <si>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</si>
  <si>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</si>
  <si>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</si>
  <si>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</si>
  <si>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</si>
  <si>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</si>
  <si>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</si>
  <si>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</si>
  <si>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</si>
  <si>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</si>
  <si>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</si>
  <si>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</si>
  <si>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</si>
  <si>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</si>
  <si>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</si>
  <si>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</si>
  <si>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</si>
  <si>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</si>
  <si>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</si>
  <si>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</si>
  <si>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</si>
  <si>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</si>
  <si>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</si>
  <si>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</si>
  <si>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</si>
  <si>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</si>
  <si>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</si>
  <si>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</si>
  <si>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</si>
  <si>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</si>
  <si>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</si>
  <si>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</si>
  <si>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</si>
  <si>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</si>
  <si>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</si>
  <si>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</si>
  <si>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</si>
  <si>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</si>
  <si>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</si>
  <si>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</si>
  <si>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</si>
  <si>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</si>
  <si>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</si>
  <si>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</si>
  <si>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</si>
  <si>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</si>
  <si>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</si>
  <si>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</si>
  <si>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</si>
  <si>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</si>
  <si>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</si>
  <si>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</si>
  <si>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</si>
  <si>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</si>
  <si>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</si>
  <si>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</si>
  <si>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</si>
  <si>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</si>
  <si>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</si>
  <si>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</si>
  <si>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</si>
  <si>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</si>
  <si>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</si>
  <si>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</si>
  <si>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</si>
  <si>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</si>
  <si>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</si>
  <si>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</si>
  <si>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</si>
  <si>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</si>
  <si>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</si>
  <si>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</si>
  <si>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</si>
  <si>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</si>
  <si>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</si>
  <si>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</si>
  <si>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</si>
  <si>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</si>
  <si>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</si>
  <si>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</si>
  <si>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</si>
  <si>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</si>
  <si>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</si>
  <si>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</si>
  <si>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</si>
  <si>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</si>
  <si>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</si>
  <si>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</si>
  <si>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</si>
  <si>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</si>
  <si>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</si>
  <si>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</si>
  <si>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</si>
  <si>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</si>
  <si>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</si>
  <si>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</si>
  <si>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</si>
  <si>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</si>
  <si>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</si>
  <si>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</si>
  <si>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</si>
  <si>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</si>
  <si>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</si>
  <si>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</si>
  <si>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</si>
  <si>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</si>
  <si>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</si>
  <si>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</si>
  <si>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</si>
  <si>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</si>
  <si>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</si>
  <si>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</si>
  <si>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</si>
  <si>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</si>
  <si>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</si>
  <si>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</si>
  <si>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</si>
  <si>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</si>
  <si>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</si>
  <si>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</si>
  <si>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</si>
  <si>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</si>
  <si>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</si>
  <si>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</si>
  <si>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</si>
  <si>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</si>
  <si>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</si>
  <si>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</si>
  <si>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</si>
  <si>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</si>
  <si>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</si>
  <si>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</si>
  <si>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</si>
  <si>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</si>
  <si>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</si>
  <si>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</si>
  <si>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</si>
  <si>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</si>
  <si>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</si>
  <si>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</si>
  <si>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</si>
  <si>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</si>
  <si>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</si>
  <si>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</si>
  <si>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</si>
  <si>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</si>
  <si>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</si>
  <si>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</si>
  <si>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</si>
  <si>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</si>
  <si>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</si>
  <si>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</si>
  <si>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</si>
  <si>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</si>
  <si>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</si>
  <si>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</si>
  <si>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</si>
  <si>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</si>
  <si>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</si>
  <si>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</si>
  <si>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</si>
  <si>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</si>
  <si>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</si>
  <si>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</si>
  <si>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</si>
  <si>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</si>
  <si>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</si>
  <si>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</si>
  <si>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</si>
  <si>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</si>
  <si>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</si>
  <si>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</si>
  <si>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</si>
  <si>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</si>
  <si>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</si>
  <si>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</si>
  <si>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</si>
  <si>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</si>
  <si>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</si>
  <si>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</si>
  <si>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</si>
  <si>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</si>
  <si>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</si>
  <si>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</si>
  <si>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</si>
  <si>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</si>
  <si>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</si>
  <si>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</si>
  <si>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</si>
  <si>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</si>
  <si>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</si>
  <si>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</si>
  <si>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</si>
  <si>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</si>
  <si>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</si>
  <si>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</si>
  <si>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</si>
  <si>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</si>
  <si>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</si>
  <si>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</si>
  <si>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</si>
  <si>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</si>
  <si>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</si>
  <si>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</si>
  <si>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</si>
  <si>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</si>
  <si>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</si>
  <si>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</si>
  <si>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</si>
  <si>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</si>
  <si>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</si>
  <si>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</si>
  <si>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</si>
  <si>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</si>
  <si>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</si>
  <si>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</si>
  <si>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</si>
  <si>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</si>
  <si>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</si>
  <si>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</si>
  <si>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</si>
  <si>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</si>
  <si>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</si>
  <si>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</si>
  <si>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</si>
  <si>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</si>
  <si>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</si>
  <si>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</si>
  <si>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</si>
  <si>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</si>
  <si>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</si>
  <si>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</si>
  <si>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</si>
  <si>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</si>
  <si>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</si>
  <si>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</si>
  <si>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</si>
  <si>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</si>
  <si>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</si>
  <si>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</si>
  <si>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</si>
  <si>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</si>
  <si>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</si>
  <si>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</si>
  <si>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</si>
  <si>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</si>
  <si>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</si>
  <si>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</si>
  <si>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</si>
  <si>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</si>
  <si>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</si>
  <si>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</si>
  <si>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</si>
  <si>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</si>
  <si>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</si>
  <si>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</si>
  <si>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</si>
  <si>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</si>
  <si>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</si>
  <si>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</si>
  <si>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</si>
  <si>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</si>
  <si>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</si>
  <si>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</si>
  <si>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</si>
  <si>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</si>
  <si>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</si>
  <si>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</si>
  <si>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</si>
  <si>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</si>
  <si>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</si>
  <si>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</si>
  <si>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</si>
  <si>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</si>
  <si>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</si>
  <si>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</si>
  <si>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</si>
  <si>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</si>
  <si>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</si>
  <si>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</si>
  <si>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</si>
  <si>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</si>
  <si>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</si>
  <si>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</si>
  <si>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</si>
  <si>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</si>
  <si>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</si>
  <si>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</si>
  <si>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</si>
  <si>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</si>
  <si>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</si>
  <si>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</si>
  <si>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</si>
  <si>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</si>
  <si>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</si>
  <si>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</si>
  <si>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</si>
  <si>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</si>
  <si>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</si>
  <si>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</si>
  <si>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</si>
  <si>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</si>
  <si>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</si>
  <si>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</si>
  <si>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</si>
  <si>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</si>
  <si>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</si>
  <si>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</si>
  <si>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</si>
  <si>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</si>
  <si>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</si>
  <si>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</si>
  <si>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</si>
  <si>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</si>
  <si>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</si>
  <si>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</si>
  <si>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</si>
  <si>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</si>
  <si>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</si>
  <si>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</si>
  <si>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</si>
  <si>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</si>
  <si>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</si>
  <si>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</si>
  <si>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</si>
  <si>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</si>
  <si>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</si>
  <si>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</si>
  <si>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</si>
  <si>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</si>
  <si>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</si>
  <si>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</si>
  <si>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</si>
  <si>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</si>
  <si>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</si>
  <si>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</si>
  <si>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</si>
  <si>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</si>
  <si>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</si>
  <si>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</si>
  <si>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</si>
  <si>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</si>
  <si>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</si>
  <si>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</si>
  <si>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</si>
  <si>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</si>
  <si>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</si>
  <si>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</si>
  <si>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</si>
  <si>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</si>
  <si>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</si>
  <si>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</si>
  <si>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</si>
  <si>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</si>
  <si>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</si>
  <si>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</si>
  <si>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</si>
  <si>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</si>
  <si>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</si>
  <si>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</si>
  <si>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</si>
  <si>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</si>
  <si>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</si>
  <si>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</si>
  <si>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</si>
  <si>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</si>
  <si>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</si>
  <si>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</si>
  <si>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</si>
  <si>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</si>
  <si>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</si>
  <si>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</si>
  <si>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</si>
  <si>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</si>
  <si>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</si>
  <si>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</si>
  <si>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</si>
  <si>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</si>
  <si>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</si>
  <si>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</si>
  <si>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</si>
  <si>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</si>
  <si>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</si>
  <si>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</si>
  <si>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</si>
  <si>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</si>
  <si>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</si>
  <si>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</si>
  <si>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</si>
  <si>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</si>
  <si>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</si>
  <si>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</si>
  <si>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</si>
  <si>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</si>
  <si>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</si>
  <si>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</si>
  <si>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</si>
  <si>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</si>
  <si>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</si>
  <si>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</si>
  <si>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</si>
  <si>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</si>
  <si>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</si>
  <si>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</si>
  <si>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</si>
  <si>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</si>
  <si>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</si>
  <si>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</si>
  <si>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</si>
  <si>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</si>
  <si>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</si>
  <si>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</si>
  <si>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</si>
  <si>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</si>
  <si>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</si>
  <si>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</si>
  <si>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</si>
  <si>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</si>
  <si>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</si>
  <si>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</si>
  <si>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</si>
  <si>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</si>
  <si>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</si>
  <si>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</si>
  <si>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</si>
  <si>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</si>
  <si>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</si>
  <si>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</si>
  <si>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</si>
  <si>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</si>
  <si>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</si>
  <si>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</si>
  <si>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</si>
  <si>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</si>
  <si>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</si>
  <si>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</si>
  <si>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</si>
  <si>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</si>
  <si>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</si>
  <si>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</si>
  <si>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</si>
  <si>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</si>
  <si>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</si>
  <si>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</si>
  <si>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</si>
  <si>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</si>
  <si>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</si>
  <si>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</si>
  <si>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</si>
  <si>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</si>
  <si>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</si>
  <si>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</si>
  <si>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</si>
  <si>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</si>
  <si>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</si>
  <si>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</si>
  <si>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</si>
  <si>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</si>
  <si>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</si>
  <si>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</si>
  <si>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</si>
  <si>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</si>
  <si>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</si>
  <si>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</si>
  <si>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</si>
  <si>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</si>
  <si>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</si>
  <si>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</si>
  <si>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</si>
  <si>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</si>
  <si>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</si>
  <si>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</si>
  <si>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</si>
  <si>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</si>
  <si>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</si>
  <si>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</si>
  <si>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</si>
  <si>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</si>
  <si>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</si>
  <si>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</si>
  <si>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</si>
  <si>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</si>
  <si>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</si>
  <si>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</si>
  <si>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</si>
  <si>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</si>
  <si>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</si>
  <si>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</si>
  <si>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</si>
  <si>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</si>
  <si>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</si>
  <si>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</si>
  <si>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</si>
  <si>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</si>
  <si>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</si>
  <si>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</si>
  <si>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</si>
  <si>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</si>
  <si>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</si>
  <si>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</si>
  <si>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</si>
  <si>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</si>
  <si>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</si>
  <si>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</si>
  <si>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</si>
  <si>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</si>
  <si>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</si>
  <si>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</si>
  <si>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</si>
  <si>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</si>
  <si>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</si>
  <si>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</si>
  <si>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</si>
  <si>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</si>
  <si>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</si>
  <si>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</si>
  <si>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</si>
  <si>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</si>
  <si>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</si>
  <si>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</si>
  <si>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</si>
  <si>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</si>
  <si>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</si>
  <si>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</si>
  <si>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</si>
  <si>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</si>
  <si>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</si>
  <si>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</si>
  <si>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</si>
  <si>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</si>
  <si>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</si>
  <si>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</si>
  <si>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</si>
  <si>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</si>
  <si>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</si>
  <si>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</si>
  <si>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</si>
  <si>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</si>
  <si>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</si>
  <si>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</si>
  <si>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</si>
  <si>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</si>
  <si>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</si>
  <si>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</si>
  <si>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</si>
  <si>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</si>
  <si>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</si>
  <si>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</si>
  <si>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</si>
  <si>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</si>
  <si>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</si>
  <si>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</si>
  <si>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</si>
  <si>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</si>
  <si>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</si>
  <si>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</si>
  <si>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</si>
  <si>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</si>
  <si>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</si>
  <si>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</si>
  <si>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</si>
  <si>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</si>
  <si>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</si>
  <si>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</si>
  <si>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</si>
  <si>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</si>
  <si>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</si>
  <si>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</si>
  <si>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</si>
  <si>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</si>
  <si>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</si>
  <si>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</si>
  <si>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</si>
  <si>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</si>
  <si>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</si>
  <si>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</si>
  <si>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</si>
  <si>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</si>
  <si>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</si>
  <si>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</si>
  <si>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</si>
  <si>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</si>
  <si>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</si>
  <si>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</si>
  <si>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</si>
  <si>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</si>
  <si>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</si>
  <si>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</si>
  <si>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</si>
  <si>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</si>
  <si>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</si>
  <si>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</si>
  <si>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</si>
  <si>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</si>
  <si>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</si>
  <si>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</si>
  <si>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</si>
  <si>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</si>
  <si>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</si>
  <si>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</si>
  <si>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</si>
  <si>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</si>
  <si>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</si>
  <si>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</si>
  <si>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</si>
  <si>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</si>
  <si>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</si>
  <si>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</si>
  <si>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</si>
  <si>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</si>
  <si>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</si>
  <si>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</si>
  <si>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</si>
  <si>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</si>
  <si>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</si>
  <si>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</si>
  <si>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</si>
  <si>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</si>
  <si>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</si>
  <si>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</si>
  <si>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</si>
  <si>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</si>
  <si>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</si>
  <si>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</si>
  <si>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</si>
  <si>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</si>
  <si>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</si>
  <si>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</si>
  <si>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</si>
  <si>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</si>
  <si>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</si>
  <si>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</si>
  <si>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</si>
  <si>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</si>
  <si>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</si>
  <si>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</si>
  <si>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</si>
  <si>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</si>
  <si>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</si>
  <si>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</si>
  <si>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</si>
  <si>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</si>
  <si>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</si>
  <si>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</si>
  <si>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</si>
  <si>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</si>
  <si>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</si>
  <si>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</si>
  <si>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</si>
  <si>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</si>
  <si>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</si>
  <si>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</si>
  <si>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</si>
  <si>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</si>
  <si>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</si>
  <si>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</si>
  <si>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</si>
  <si>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</si>
  <si>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</si>
  <si>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</si>
  <si>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</si>
  <si>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</si>
  <si>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</si>
  <si>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</si>
  <si>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</si>
  <si>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</si>
  <si>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</si>
  <si>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</si>
  <si>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</si>
  <si>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</si>
  <si>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</si>
  <si>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</si>
  <si>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</si>
  <si>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</si>
  <si>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</si>
  <si>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</si>
  <si>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</si>
  <si>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</si>
  <si>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</si>
  <si>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</si>
  <si>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</si>
  <si>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</si>
  <si>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</si>
  <si>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</si>
  <si>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</si>
  <si>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</si>
  <si>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</si>
  <si>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</si>
  <si>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</si>
  <si>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</si>
  <si>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</si>
  <si>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</si>
  <si>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</si>
  <si>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</si>
  <si>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</si>
  <si>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</si>
  <si>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</si>
  <si>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</si>
  <si>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</si>
  <si>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</si>
  <si>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</si>
  <si>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</si>
  <si>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</si>
  <si>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</si>
  <si>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</si>
  <si>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</si>
  <si>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</si>
  <si>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</si>
  <si>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</si>
  <si>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</si>
  <si>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</si>
  <si>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</si>
  <si>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</si>
  <si>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</si>
  <si>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</si>
  <si>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</si>
  <si>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</si>
  <si>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</si>
  <si>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</si>
  <si>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</si>
  <si>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</si>
  <si>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</si>
  <si>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</si>
  <si>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</si>
  <si>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</si>
  <si>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</si>
  <si>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</si>
  <si>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</si>
  <si>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</si>
  <si>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</si>
  <si>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</si>
  <si>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</si>
  <si>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</si>
  <si>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</si>
  <si>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</si>
  <si>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</si>
  <si>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</si>
  <si>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</si>
  <si>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</si>
  <si>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</si>
  <si>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</si>
  <si>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</si>
  <si>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</si>
  <si>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</si>
  <si>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</si>
  <si>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</si>
  <si>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</si>
  <si>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</si>
  <si>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</si>
  <si>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</si>
  <si>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</si>
  <si>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</si>
  <si>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</si>
  <si>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</si>
  <si>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</si>
  <si>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</si>
  <si>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</si>
  <si>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</si>
  <si>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</si>
  <si>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</si>
  <si>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</si>
  <si>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</si>
  <si>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</si>
  <si>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</si>
  <si>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</si>
  <si>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</si>
  <si>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</si>
  <si>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</si>
  <si>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</si>
  <si>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</si>
  <si>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</si>
  <si>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</si>
  <si>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</si>
  <si>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</si>
  <si>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</si>
  <si>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</si>
  <si>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</si>
  <si>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</si>
  <si>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</si>
  <si>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</si>
  <si>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</si>
  <si>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</si>
  <si>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</si>
  <si>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</si>
  <si>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</si>
  <si>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</si>
  <si>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</si>
  <si>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</si>
  <si>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</si>
  <si>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</si>
  <si>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</si>
  <si>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</si>
  <si>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</si>
  <si>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</si>
  <si>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</si>
  <si>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</si>
  <si>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</si>
  <si>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</si>
  <si>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</si>
  <si>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</si>
  <si>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</si>
  <si>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</si>
  <si>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</si>
  <si>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</si>
  <si>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</si>
  <si>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</si>
  <si>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</si>
  <si>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</si>
  <si>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</si>
  <si>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</si>
  <si>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</si>
  <si>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</si>
  <si>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</si>
  <si>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</si>
  <si>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</si>
  <si>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</si>
  <si>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</si>
  <si>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</si>
  <si>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</si>
  <si>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</si>
  <si>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</si>
  <si>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</si>
  <si>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</si>
  <si>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</si>
  <si>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</si>
  <si>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</si>
  <si>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</si>
  <si>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</si>
  <si>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</si>
  <si>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</si>
  <si>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</si>
  <si>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</si>
  <si>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</si>
  <si>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</si>
  <si>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</si>
  <si>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</si>
  <si>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</si>
  <si>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</si>
  <si>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</si>
  <si>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</si>
  <si>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</si>
  <si>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</si>
  <si>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</si>
  <si>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</si>
  <si>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</si>
  <si>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</si>
  <si>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</si>
  <si>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</si>
  <si>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</si>
  <si>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</si>
  <si>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</si>
  <si>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</si>
  <si>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</si>
  <si>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</si>
  <si>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</si>
  <si>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</si>
  <si>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</si>
  <si>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</si>
  <si>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</si>
  <si>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</si>
  <si>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</si>
  <si>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</si>
  <si>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</si>
  <si>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</si>
  <si>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</si>
  <si>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</si>
  <si>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</si>
  <si>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</si>
  <si>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</si>
  <si>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</si>
  <si>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</si>
  <si>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</si>
  <si>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</si>
  <si>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</si>
  <si>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</si>
  <si>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</si>
  <si>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</si>
  <si>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</si>
  <si>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</si>
  <si>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</si>
  <si>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</si>
  <si>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</si>
  <si>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</si>
  <si>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</si>
  <si>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</si>
  <si>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</si>
  <si>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</si>
  <si>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</si>
  <si>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</si>
  <si>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</si>
  <si>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</si>
  <si>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</si>
  <si>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</si>
  <si>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</si>
  <si>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</si>
  <si>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</si>
  <si>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</si>
  <si>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</si>
  <si>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</si>
  <si>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</si>
  <si>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</si>
  <si>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</si>
  <si>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</si>
  <si>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</si>
  <si>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</si>
  <si>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</si>
  <si>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</si>
  <si>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</si>
  <si>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</si>
  <si>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</si>
  <si>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</si>
  <si>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</si>
  <si>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</si>
  <si>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</si>
  <si>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</si>
  <si>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</si>
  <si>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</si>
  <si>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</si>
  <si>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</si>
  <si>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</si>
  <si>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</si>
  <si>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</si>
  <si>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</si>
  <si>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</si>
  <si>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</si>
  <si>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</si>
  <si>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</si>
  <si>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</si>
  <si>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</si>
  <si>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</si>
  <si>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</si>
  <si>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</si>
  <si>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</si>
  <si>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</si>
  <si>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</si>
  <si>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</si>
  <si>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</si>
  <si>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</si>
  <si>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</si>
  <si>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</si>
  <si>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</si>
  <si>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</si>
  <si>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</si>
  <si>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</si>
  <si>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</si>
  <si>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</si>
  <si>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</si>
  <si>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</si>
  <si>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</si>
  <si>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</si>
  <si>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</si>
  <si>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</si>
  <si>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</si>
  <si>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</si>
  <si>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</si>
  <si>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</si>
  <si>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</si>
  <si>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</si>
  <si>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</si>
  <si>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</si>
  <si>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</si>
  <si>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</si>
  <si>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</si>
  <si>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</si>
  <si>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</si>
  <si>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</si>
  <si>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</si>
  <si>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</si>
  <si>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</si>
  <si>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</si>
  <si>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Sum of diff_order_delivery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</si>
  <si>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</si>
  <si>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</si>
  <si>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</si>
  <si>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</si>
  <si>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</si>
  <si>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</si>
  <si>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</si>
  <si>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</si>
  <si>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</si>
  <si>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</si>
  <si>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</si>
  <si>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</si>
  <si>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</si>
  <si>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 (Delivery Time)]</t>
  </si>
  <si>
    <t>Orders[Price (INR)]</t>
  </si>
  <si>
    <t>Orders[Revenue]</t>
  </si>
  <si>
    <t>Orders[Day Name (Order Date)]</t>
  </si>
  <si>
    <t>Data returned for Sum of Revenue, November (First 1000 rows).</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</si>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</sst>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Sheet1!$E$27</c:f>
              <c:strCache>
                <c:ptCount val="1"/>
                <c:pt idx="0">
                  <c:v>Total</c:v>
                </c:pt>
              </c:strCache>
            </c:strRef>
          </c:tx>
          <c:spPr>
            <a:solidFill>
              <a:schemeClr val="accent1"/>
            </a:solidFill>
            <a:ln>
              <a:noFill/>
            </a:ln>
            <a:effectLst/>
          </c:spPr>
          <c:invertIfNegative val="0"/>
          <c:cat>
            <c:strRef>
              <c:f>Sheet1!$D$28:$D$35</c:f>
              <c:strCache>
                <c:ptCount val="7"/>
                <c:pt idx="0">
                  <c:v>All Occasions</c:v>
                </c:pt>
                <c:pt idx="1">
                  <c:v>Anniversary</c:v>
                </c:pt>
                <c:pt idx="2">
                  <c:v>Birthday</c:v>
                </c:pt>
                <c:pt idx="3">
                  <c:v>Diwali</c:v>
                </c:pt>
                <c:pt idx="4">
                  <c:v>Holi</c:v>
                </c:pt>
                <c:pt idx="5">
                  <c:v>Raksha Bandhan</c:v>
                </c:pt>
                <c:pt idx="6">
                  <c:v>Valentine's Day</c:v>
                </c:pt>
              </c:strCache>
            </c:strRef>
          </c:cat>
          <c:val>
            <c:numRef>
              <c:f>Sheet1!$E$28:$E$35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F298-41E0-83CF-1391A3B31264}"/>
            </c:ext>
          </c:extLst>
        </c:ser>
        <c:dLbls>
          <c:showLegendKey val="0"/>
          <c:showVal val="0"/>
          <c:showCatName val="0"/>
          <c:showSerName val="0"/>
          <c:showPercent val="0"/>
          <c:showBubbleSize val="0"/>
        </c:dLbls>
        <c:gapWidth val="219"/>
        <c:overlap val="-27"/>
        <c:axId val="1394109103"/>
        <c:axId val="593958895"/>
      </c:barChart>
      <c:catAx>
        <c:axId val="139410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8895"/>
        <c:crosses val="autoZero"/>
        <c:auto val="1"/>
        <c:lblAlgn val="ctr"/>
        <c:lblOffset val="100"/>
        <c:noMultiLvlLbl val="0"/>
      </c:catAx>
      <c:valAx>
        <c:axId val="59395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0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1"/>
            </a:solidFill>
            <a:ln>
              <a:noFill/>
            </a:ln>
            <a:effectLst/>
          </c:spPr>
          <c:invertIfNegative val="0"/>
          <c:cat>
            <c:strRef>
              <c:f>Sheet1!$D$15:$D$22</c:f>
              <c:strCache>
                <c:ptCount val="7"/>
                <c:pt idx="0">
                  <c:v>Cake</c:v>
                </c:pt>
                <c:pt idx="1">
                  <c:v>Colors</c:v>
                </c:pt>
                <c:pt idx="2">
                  <c:v>Mugs</c:v>
                </c:pt>
                <c:pt idx="3">
                  <c:v>Plants</c:v>
                </c:pt>
                <c:pt idx="4">
                  <c:v>Raksha Bandhan</c:v>
                </c:pt>
                <c:pt idx="5">
                  <c:v>Soft Toys</c:v>
                </c:pt>
                <c:pt idx="6">
                  <c:v>Sweets</c:v>
                </c:pt>
              </c:strCache>
            </c:strRef>
          </c:cat>
          <c:val>
            <c:numRef>
              <c:f>Sheet1!$E$15:$E$22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A8B2-4D3D-8982-84892DF58DC7}"/>
            </c:ext>
          </c:extLst>
        </c:ser>
        <c:dLbls>
          <c:showLegendKey val="0"/>
          <c:showVal val="0"/>
          <c:showCatName val="0"/>
          <c:showSerName val="0"/>
          <c:showPercent val="0"/>
          <c:showBubbleSize val="0"/>
        </c:dLbls>
        <c:gapWidth val="219"/>
        <c:overlap val="-27"/>
        <c:axId val="593955535"/>
        <c:axId val="593956495"/>
      </c:barChart>
      <c:catAx>
        <c:axId val="5939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6495"/>
        <c:crosses val="autoZero"/>
        <c:auto val="1"/>
        <c:lblAlgn val="ctr"/>
        <c:lblOffset val="100"/>
        <c:noMultiLvlLbl val="0"/>
      </c:catAx>
      <c:valAx>
        <c:axId val="593956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95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CCD5-4BF0-8EEA-3F847F966282}"/>
            </c:ext>
          </c:extLst>
        </c:ser>
        <c:dLbls>
          <c:showLegendKey val="0"/>
          <c:showVal val="0"/>
          <c:showCatName val="0"/>
          <c:showSerName val="0"/>
          <c:showPercent val="0"/>
          <c:showBubbleSize val="0"/>
        </c:dLbls>
        <c:smooth val="0"/>
        <c:axId val="595575007"/>
        <c:axId val="595575487"/>
      </c:lineChart>
      <c:catAx>
        <c:axId val="5955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75487"/>
        <c:crosses val="autoZero"/>
        <c:auto val="1"/>
        <c:lblAlgn val="ctr"/>
        <c:lblOffset val="100"/>
        <c:noMultiLvlLbl val="0"/>
      </c:catAx>
      <c:valAx>
        <c:axId val="595575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7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cat>
            <c:strRef>
              <c:f>Sheet1!$D$6:$D$11</c:f>
              <c:strCache>
                <c:ptCount val="5"/>
                <c:pt idx="0">
                  <c:v>Deserunt Box</c:v>
                </c:pt>
                <c:pt idx="1">
                  <c:v>Dolores Gift</c:v>
                </c:pt>
                <c:pt idx="2">
                  <c:v>Harum Pack</c:v>
                </c:pt>
                <c:pt idx="3">
                  <c:v>Magnam Set</c:v>
                </c:pt>
                <c:pt idx="4">
                  <c:v>Quia Gift</c:v>
                </c:pt>
              </c:strCache>
            </c:strRef>
          </c:cat>
          <c:val>
            <c:numRef>
              <c:f>Sheet1!$E$6:$E$11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4772-4C82-B05B-F1ECCC18E135}"/>
            </c:ext>
          </c:extLst>
        </c:ser>
        <c:dLbls>
          <c:showLegendKey val="0"/>
          <c:showVal val="0"/>
          <c:showCatName val="0"/>
          <c:showSerName val="0"/>
          <c:showPercent val="0"/>
          <c:showBubbleSize val="0"/>
        </c:dLbls>
        <c:gapWidth val="219"/>
        <c:overlap val="-27"/>
        <c:axId val="609476047"/>
        <c:axId val="609473647"/>
      </c:barChart>
      <c:catAx>
        <c:axId val="60947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73647"/>
        <c:crosses val="autoZero"/>
        <c:auto val="1"/>
        <c:lblAlgn val="ctr"/>
        <c:lblOffset val="100"/>
        <c:noMultiLvlLbl val="0"/>
      </c:catAx>
      <c:valAx>
        <c:axId val="60947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Sheet1!$B$18:$B$28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4-1F95-4E8B-BB1C-F04DD7372E87}"/>
            </c:ext>
          </c:extLst>
        </c:ser>
        <c:dLbls>
          <c:showLegendKey val="0"/>
          <c:showVal val="0"/>
          <c:showCatName val="0"/>
          <c:showSerName val="0"/>
          <c:showPercent val="0"/>
          <c:showBubbleSize val="0"/>
        </c:dLbls>
        <c:gapWidth val="219"/>
        <c:overlap val="-27"/>
        <c:axId val="609464863"/>
        <c:axId val="687358879"/>
      </c:barChart>
      <c:catAx>
        <c:axId val="6094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58879"/>
        <c:crosses val="autoZero"/>
        <c:auto val="1"/>
        <c:lblAlgn val="ctr"/>
        <c:lblOffset val="100"/>
        <c:noMultiLvlLbl val="0"/>
      </c:catAx>
      <c:valAx>
        <c:axId val="68735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6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Houe (Order</a:t>
            </a:r>
            <a:r>
              <a:rPr lang="en-US" baseline="0"/>
              <a:t> Time</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Sheet1!$B$31</c:f>
              <c:strCache>
                <c:ptCount val="1"/>
                <c:pt idx="0">
                  <c:v>Total</c:v>
                </c:pt>
              </c:strCache>
            </c:strRef>
          </c:tx>
          <c:spPr>
            <a:ln w="28575" cap="rnd">
              <a:solidFill>
                <a:schemeClr val="accent1"/>
              </a:solidFill>
              <a:round/>
            </a:ln>
            <a:effectLst/>
          </c:spPr>
          <c:marker>
            <c:symbol val="none"/>
          </c:marker>
          <c:cat>
            <c:strRef>
              <c:f>Sheet1!$A$32:$A$56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Sheet1!$B$32:$B$56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99C7-4581-9954-089118AC9076}"/>
            </c:ext>
          </c:extLst>
        </c:ser>
        <c:dLbls>
          <c:showLegendKey val="0"/>
          <c:showVal val="0"/>
          <c:showCatName val="0"/>
          <c:showSerName val="0"/>
          <c:showPercent val="0"/>
          <c:showBubbleSize val="0"/>
        </c:dLbls>
        <c:smooth val="0"/>
        <c:axId val="609475087"/>
        <c:axId val="609471727"/>
      </c:lineChart>
      <c:catAx>
        <c:axId val="60947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71727"/>
        <c:crosses val="autoZero"/>
        <c:auto val="1"/>
        <c:lblAlgn val="ctr"/>
        <c:lblOffset val="100"/>
        <c:tickLblSkip val="2"/>
        <c:noMultiLvlLbl val="0"/>
      </c:catAx>
      <c:valAx>
        <c:axId val="609471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7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130175</xdr:colOff>
      <xdr:row>6</xdr:row>
      <xdr:rowOff>51268</xdr:rowOff>
    </xdr:from>
    <xdr:to>
      <xdr:col>6</xdr:col>
      <xdr:colOff>333375</xdr:colOff>
      <xdr:row>20</xdr:row>
      <xdr:rowOff>95718</xdr:rowOff>
    </xdr:to>
    <xdr:graphicFrame macro="">
      <xdr:nvGraphicFramePr>
        <xdr:cNvPr id="2" name="Chart 1">
          <a:extLst>
            <a:ext uri="{FF2B5EF4-FFF2-40B4-BE49-F238E27FC236}">
              <a16:creationId xmlns:a16="http://schemas.microsoft.com/office/drawing/2014/main" id="{C3002002-4C51-4ECB-85D3-64665EF7A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400704</xdr:colOff>
      <xdr:row>6</xdr:row>
      <xdr:rowOff>13821</xdr:rowOff>
    </xdr:from>
    <xdr:to>
      <xdr:col>13</xdr:col>
      <xdr:colOff>326107</xdr:colOff>
      <xdr:row>20</xdr:row>
      <xdr:rowOff>94784</xdr:rowOff>
    </xdr:to>
    <xdr:graphicFrame macro="">
      <xdr:nvGraphicFramePr>
        <xdr:cNvPr id="3" name="Chart 2">
          <a:extLst>
            <a:ext uri="{FF2B5EF4-FFF2-40B4-BE49-F238E27FC236}">
              <a16:creationId xmlns:a16="http://schemas.microsoft.com/office/drawing/2014/main" id="{F528B060-3F18-4ABA-A137-798FC82AE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114859</xdr:colOff>
      <xdr:row>21</xdr:row>
      <xdr:rowOff>22693</xdr:rowOff>
    </xdr:from>
    <xdr:to>
      <xdr:col>6</xdr:col>
      <xdr:colOff>329297</xdr:colOff>
      <xdr:row>36</xdr:row>
      <xdr:rowOff>3643</xdr:rowOff>
    </xdr:to>
    <xdr:graphicFrame macro="">
      <xdr:nvGraphicFramePr>
        <xdr:cNvPr id="4" name="Chart 3">
          <a:extLst>
            <a:ext uri="{FF2B5EF4-FFF2-40B4-BE49-F238E27FC236}">
              <a16:creationId xmlns:a16="http://schemas.microsoft.com/office/drawing/2014/main" id="{9E792317-9058-4AEF-9DEA-AF6FEA0D9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408642</xdr:colOff>
      <xdr:row>21</xdr:row>
      <xdr:rowOff>12234</xdr:rowOff>
    </xdr:from>
    <xdr:to>
      <xdr:col>13</xdr:col>
      <xdr:colOff>334045</xdr:colOff>
      <xdr:row>35</xdr:row>
      <xdr:rowOff>175746</xdr:rowOff>
    </xdr:to>
    <xdr:graphicFrame macro="">
      <xdr:nvGraphicFramePr>
        <xdr:cNvPr id="6" name="Chart 5">
          <a:extLst>
            <a:ext uri="{FF2B5EF4-FFF2-40B4-BE49-F238E27FC236}">
              <a16:creationId xmlns:a16="http://schemas.microsoft.com/office/drawing/2014/main" id="{A62956EC-CC1E-42DC-815E-B954EB503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21</xdr:row>
      <xdr:rowOff>10086</xdr:rowOff>
    </xdr:from>
    <xdr:to>
      <xdr:col>20</xdr:col>
      <xdr:colOff>141781</xdr:colOff>
      <xdr:row>35</xdr:row>
      <xdr:rowOff>158750</xdr:rowOff>
    </xdr:to>
    <xdr:graphicFrame macro="">
      <xdr:nvGraphicFramePr>
        <xdr:cNvPr id="7" name="Chart 6">
          <a:extLst>
            <a:ext uri="{FF2B5EF4-FFF2-40B4-BE49-F238E27FC236}">
              <a16:creationId xmlns:a16="http://schemas.microsoft.com/office/drawing/2014/main" id="{093FFCED-954E-4084-A7D7-91C888839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395287</xdr:colOff>
      <xdr:row>6</xdr:row>
      <xdr:rowOff>22786</xdr:rowOff>
    </xdr:from>
    <xdr:to>
      <xdr:col>20</xdr:col>
      <xdr:colOff>119541</xdr:colOff>
      <xdr:row>20</xdr:row>
      <xdr:rowOff>107484</xdr:rowOff>
    </xdr:to>
    <xdr:graphicFrame macro="">
      <xdr:nvGraphicFramePr>
        <xdr:cNvPr id="8" name="Chart 7">
          <a:extLst>
            <a:ext uri="{FF2B5EF4-FFF2-40B4-BE49-F238E27FC236}">
              <a16:creationId xmlns:a16="http://schemas.microsoft.com/office/drawing/2014/main" id="{BB598BF0-4240-443C-BD70-F85364253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33617</xdr:colOff>
      <xdr:row>1</xdr:row>
      <xdr:rowOff>1960</xdr:rowOff>
    </xdr:from>
    <xdr:to>
      <xdr:col>12</xdr:col>
      <xdr:colOff>333374</xdr:colOff>
      <xdr:row>5</xdr:row>
      <xdr:rowOff>63499</xdr:rowOff>
    </xdr:to>
    <xdr:sp macro="" textlink="Sheet1!D3">
      <xdr:nvSpPr>
        <xdr:cNvPr id="11" name="Rectangle: Rounded Corners 10">
          <a:extLst>
            <a:ext uri="{FF2B5EF4-FFF2-40B4-BE49-F238E27FC236}">
              <a16:creationId xmlns:a16="http://schemas.microsoft.com/office/drawing/2014/main" id="{768263F2-CBD0-4797-9E51-84BE5CE743AA}"/>
            </a:ext>
          </a:extLst>
        </xdr:cNvPr>
        <xdr:cNvSpPr/>
      </xdr:nvSpPr>
      <xdr:spPr>
        <a:xfrm>
          <a:off x="5534305" y="184523"/>
          <a:ext cx="2133319" cy="791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479399-67FB-4F22-BED8-F8090D11FFD7}"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editAs="oneCell">
    <xdr:from>
      <xdr:col>20</xdr:col>
      <xdr:colOff>250732</xdr:colOff>
      <xdr:row>18</xdr:row>
      <xdr:rowOff>95250</xdr:rowOff>
    </xdr:from>
    <xdr:to>
      <xdr:col>23</xdr:col>
      <xdr:colOff>277812</xdr:colOff>
      <xdr:row>35</xdr:row>
      <xdr:rowOff>169955</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2A1EE5C9-4D70-49AA-9AEE-BF5442B40C9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474482" y="3381375"/>
              <a:ext cx="1860643" cy="3178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234109</xdr:colOff>
      <xdr:row>1</xdr:row>
      <xdr:rowOff>107764</xdr:rowOff>
    </xdr:from>
    <xdr:to>
      <xdr:col>23</xdr:col>
      <xdr:colOff>246061</xdr:colOff>
      <xdr:row>9</xdr:row>
      <xdr:rowOff>71438</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20BF5BF2-D66D-4641-EAAE-C37C212DE00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457859" y="290327"/>
              <a:ext cx="1845515" cy="14241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241300</xdr:colOff>
      <xdr:row>10</xdr:row>
      <xdr:rowOff>33339</xdr:rowOff>
    </xdr:from>
    <xdr:to>
      <xdr:col>23</xdr:col>
      <xdr:colOff>246062</xdr:colOff>
      <xdr:row>17</xdr:row>
      <xdr:rowOff>127001</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D0B18FCD-9A4E-9E3C-BE61-11EAD815666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65050" y="1858964"/>
              <a:ext cx="18383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134938</xdr:colOff>
      <xdr:row>1</xdr:row>
      <xdr:rowOff>11485</xdr:rowOff>
    </xdr:from>
    <xdr:to>
      <xdr:col>8</xdr:col>
      <xdr:colOff>596899</xdr:colOff>
      <xdr:row>5</xdr:row>
      <xdr:rowOff>73024</xdr:rowOff>
    </xdr:to>
    <xdr:sp macro="" textlink="Sheet1!G3">
      <xdr:nvSpPr>
        <xdr:cNvPr id="19" name="Rectangle: Rounded Corners 18">
          <a:extLst>
            <a:ext uri="{FF2B5EF4-FFF2-40B4-BE49-F238E27FC236}">
              <a16:creationId xmlns:a16="http://schemas.microsoft.com/office/drawing/2014/main" id="{C8AC99AC-2E04-49B5-9CD0-EB2FA831A892}"/>
            </a:ext>
          </a:extLst>
        </xdr:cNvPr>
        <xdr:cNvSpPr/>
      </xdr:nvSpPr>
      <xdr:spPr>
        <a:xfrm>
          <a:off x="3190876" y="194048"/>
          <a:ext cx="2295523" cy="791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8E986F-08D5-4A51-A02E-3E74791593E7}"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p>
        <a:p>
          <a:pPr algn="l"/>
          <a:endParaRPr lang="en-US" sz="1600" b="1"/>
        </a:p>
      </xdr:txBody>
    </xdr:sp>
    <xdr:clientData/>
  </xdr:twoCellAnchor>
  <xdr:twoCellAnchor>
    <xdr:from>
      <xdr:col>12</xdr:col>
      <xdr:colOff>433667</xdr:colOff>
      <xdr:row>0</xdr:row>
      <xdr:rowOff>155948</xdr:rowOff>
    </xdr:from>
    <xdr:to>
      <xdr:col>16</xdr:col>
      <xdr:colOff>122236</xdr:colOff>
      <xdr:row>5</xdr:row>
      <xdr:rowOff>34924</xdr:rowOff>
    </xdr:to>
    <xdr:sp macro="" textlink="Sheet1!E3">
      <xdr:nvSpPr>
        <xdr:cNvPr id="20" name="Rectangle: Rounded Corners 19">
          <a:extLst>
            <a:ext uri="{FF2B5EF4-FFF2-40B4-BE49-F238E27FC236}">
              <a16:creationId xmlns:a16="http://schemas.microsoft.com/office/drawing/2014/main" id="{2A20EBFB-56C3-4B3B-B37D-1078087A0E9C}"/>
            </a:ext>
          </a:extLst>
        </xdr:cNvPr>
        <xdr:cNvSpPr/>
      </xdr:nvSpPr>
      <xdr:spPr>
        <a:xfrm>
          <a:off x="7767917" y="155948"/>
          <a:ext cx="2133319" cy="791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C43299-F68F-45F2-AC22-A0B09D4EC012}" type="TxLink">
            <a:rPr lang="en-US" sz="1600" b="1" i="0" u="none" strike="noStrike">
              <a:solidFill>
                <a:srgbClr val="000000"/>
              </a:solidFill>
              <a:latin typeface="Calibri"/>
              <a:ea typeface="Calibri"/>
              <a:cs typeface="Calibri"/>
            </a:rPr>
            <a:pPr algn="ctr"/>
            <a:t>5530</a:t>
          </a:fld>
          <a:endParaRPr lang="en-IN" sz="1600" b="1" i="0" u="none" strike="noStrike">
            <a:solidFill>
              <a:schemeClr val="lt1"/>
            </a:solidFill>
            <a:latin typeface="+mn-lt"/>
            <a:ea typeface="+mn-ea"/>
            <a:cs typeface="+mn-cs"/>
          </a:endParaRPr>
        </a:p>
        <a:p>
          <a:pPr algn="ctr"/>
          <a:r>
            <a:rPr lang="en-US" sz="1600" b="1" i="0" u="none" strike="noStrike">
              <a:solidFill>
                <a:schemeClr val="tx1"/>
              </a:solidFill>
              <a:latin typeface="Calibri"/>
              <a:ea typeface="Calibri"/>
              <a:cs typeface="Calibri"/>
            </a:rPr>
            <a:t>Order-Delivery Time</a:t>
          </a:r>
        </a:p>
      </xdr:txBody>
    </xdr:sp>
    <xdr:clientData/>
  </xdr:twoCellAnchor>
  <xdr:twoCellAnchor>
    <xdr:from>
      <xdr:col>16</xdr:col>
      <xdr:colOff>213005</xdr:colOff>
      <xdr:row>0</xdr:row>
      <xdr:rowOff>133723</xdr:rowOff>
    </xdr:from>
    <xdr:to>
      <xdr:col>19</xdr:col>
      <xdr:colOff>512761</xdr:colOff>
      <xdr:row>5</xdr:row>
      <xdr:rowOff>12699</xdr:rowOff>
    </xdr:to>
    <xdr:sp macro="" textlink="Sheet1!F3">
      <xdr:nvSpPr>
        <xdr:cNvPr id="21" name="Rectangle: Rounded Corners 20">
          <a:extLst>
            <a:ext uri="{FF2B5EF4-FFF2-40B4-BE49-F238E27FC236}">
              <a16:creationId xmlns:a16="http://schemas.microsoft.com/office/drawing/2014/main" id="{EE5E00B9-2023-4E45-94CD-3EA594F6E88D}"/>
            </a:ext>
          </a:extLst>
        </xdr:cNvPr>
        <xdr:cNvSpPr/>
      </xdr:nvSpPr>
      <xdr:spPr>
        <a:xfrm>
          <a:off x="9992005" y="133723"/>
          <a:ext cx="2133319" cy="791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7D593B-25AE-46F9-865F-7026A5ED7ACA}"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Customer's Spent</a:t>
          </a:r>
          <a:endParaRPr lang="en-IN" sz="1600" b="1"/>
        </a:p>
      </xdr:txBody>
    </xdr:sp>
    <xdr:clientData/>
  </xdr:twoCellAnchor>
  <xdr:twoCellAnchor>
    <xdr:from>
      <xdr:col>0</xdr:col>
      <xdr:colOff>126998</xdr:colOff>
      <xdr:row>1</xdr:row>
      <xdr:rowOff>15877</xdr:rowOff>
    </xdr:from>
    <xdr:to>
      <xdr:col>4</xdr:col>
      <xdr:colOff>508000</xdr:colOff>
      <xdr:row>5</xdr:row>
      <xdr:rowOff>77416</xdr:rowOff>
    </xdr:to>
    <xdr:sp macro="" textlink="Sheet1!G3">
      <xdr:nvSpPr>
        <xdr:cNvPr id="25" name="Rectangle: Rounded Corners 24">
          <a:extLst>
            <a:ext uri="{FF2B5EF4-FFF2-40B4-BE49-F238E27FC236}">
              <a16:creationId xmlns:a16="http://schemas.microsoft.com/office/drawing/2014/main" id="{56532EAD-03DB-4A7D-9C95-0B5FAC05C138}"/>
            </a:ext>
          </a:extLst>
        </xdr:cNvPr>
        <xdr:cNvSpPr/>
      </xdr:nvSpPr>
      <xdr:spPr>
        <a:xfrm>
          <a:off x="126998" y="198440"/>
          <a:ext cx="2825752" cy="791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ctr"/>
          <a:r>
            <a:rPr lang="en-US" sz="2200" b="0">
              <a:solidFill>
                <a:schemeClr val="tx1"/>
              </a:solidFill>
            </a:rPr>
            <a:t>Sales Analysis</a:t>
          </a:r>
        </a:p>
      </xdr:txBody>
    </xdr:sp>
    <xdr:clientData/>
  </xdr:twoCellAnchor>
  <xdr:twoCellAnchor editAs="oneCell">
    <xdr:from>
      <xdr:col>0</xdr:col>
      <xdr:colOff>327916</xdr:colOff>
      <xdr:row>1</xdr:row>
      <xdr:rowOff>174626</xdr:rowOff>
    </xdr:from>
    <xdr:to>
      <xdr:col>1</xdr:col>
      <xdr:colOff>510478</xdr:colOff>
      <xdr:row>4</xdr:row>
      <xdr:rowOff>134939</xdr:rowOff>
    </xdr:to>
    <xdr:pic>
      <xdr:nvPicPr>
        <xdr:cNvPr id="27" name="Picture 26">
          <a:extLst>
            <a:ext uri="{FF2B5EF4-FFF2-40B4-BE49-F238E27FC236}">
              <a16:creationId xmlns:a16="http://schemas.microsoft.com/office/drawing/2014/main" id="{81838CED-0A39-F5A3-FA11-087ABAADFA6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27916" y="357189"/>
          <a:ext cx="793750" cy="50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19050</xdr:colOff>
      <xdr:row>3</xdr:row>
      <xdr:rowOff>171450</xdr:rowOff>
    </xdr:from>
    <xdr:to>
      <xdr:col>8</xdr:col>
      <xdr:colOff>450850</xdr:colOff>
      <xdr:row>17</xdr:row>
      <xdr:rowOff>117475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5DC02D4B-A03B-327B-96EA-3CEF7A514A1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048500" y="723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68750001" backgroundQuery="1" createdVersion="8" refreshedVersion="8" minRefreshableVersion="3" recordCount="0" supportSubquery="1" supportAdvancedDrill="1" xr:uid="{313AA90B-D4AE-4682-97EE-929AE9266CF8}">
  <cacheSource type="external" connectionId="10"/>
  <cacheFields count="3">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69212963" backgroundQuery="1" createdVersion="8" refreshedVersion="8" minRefreshableVersion="3" recordCount="0" supportSubquery="1" supportAdvancedDrill="1" xr:uid="{EA98D251-84EF-44C1-9B05-2290AA4E2C3C}">
  <cacheSource type="external" connectionId="10"/>
  <cacheFields count="4">
    <cacheField name="[Measures].[Sum of Revenue]" caption="Sum of Revenue" numFmtId="0" hierarchy="43" level="32767"/>
    <cacheField name="[Measures].[Sum of diff_order_delivery]" caption="Sum of diff_order_delivery" numFmtId="0" hierarchy="44" level="32767"/>
    <cacheField name="[Measures].[Average of Revenue]" caption="Average of Revenue" numFmtId="0" hierarchy="47" level="32767"/>
    <cacheField name="[Measures].[Count of Order_ID]" caption="Count of Order_ID" numFmtId="0" hierarchy="49"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69560186" backgroundQuery="1" createdVersion="8" refreshedVersion="8" minRefreshableVersion="3" recordCount="0" supportSubquery="1" supportAdvancedDrill="1" xr:uid="{09C58AD1-D1AB-4D25-9059-87D54E7D7201}">
  <cacheSource type="external" connectionId="10"/>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70138887" backgroundQuery="1" createdVersion="8" refreshedVersion="8" minRefreshableVersion="3" recordCount="0" supportSubquery="1" supportAdvancedDrill="1" xr:uid="{A76018B1-56AC-46F9-8257-D4F74A821FC1}">
  <cacheSource type="external" connectionId="10"/>
  <cacheFields count="2">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70717595" backgroundQuery="1" createdVersion="8" refreshedVersion="8" minRefreshableVersion="3" recordCount="0" supportSubquery="1" supportAdvancedDrill="1" xr:uid="{85B09D50-914D-4221-B3C6-A861B1C6D557}">
  <cacheSource type="external" connectionId="10"/>
  <cacheFields count="2">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71064818" backgroundQuery="1" createdVersion="8" refreshedVersion="8" minRefreshableVersion="3" recordCount="0" supportSubquery="1" supportAdvancedDrill="1" xr:uid="{3B77667D-696D-403E-B58F-7413982FB3CD}">
  <cacheSource type="external" connectionId="10"/>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731871412034" backgroundQuery="1" createdVersion="8" refreshedVersion="8" minRefreshableVersion="3" recordCount="0" supportSubquery="1" supportAdvancedDrill="1" xr:uid="{B9B354CE-CF06-4705-97D6-F76DA2409EEB}">
  <cacheSource type="external" connectionId="10"/>
  <cacheFields count="3">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3" level="32767"/>
    <cacheField name="[Products].[Occasion].[Occasion]" caption="Occasion" numFmtId="0" hierarchy="35" level="1">
      <sharedItems count="7">
        <s v="All Occasions"/>
        <s v="Anniversary"/>
        <s v="Birthday"/>
        <s v="Diwali"/>
        <s v="Holi"/>
        <s v="Raksha Bandhan"/>
        <s v="Valentine's Day"/>
      </sharedItems>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633948263887" backgroundQuery="1" createdVersion="3" refreshedVersion="8" minRefreshableVersion="3" recordCount="0" supportSubquery="1" supportAdvancedDrill="1" xr:uid="{A49402A2-877F-43CE-BBA4-440EB0FE205E}">
  <cacheSource type="external" connectionId="10">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48494427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kesh T" refreshedDate="46078.682832638886" backgroundQuery="1" createdVersion="3" refreshedVersion="8" minRefreshableVersion="3" recordCount="0" supportSubquery="1" supportAdvancedDrill="1" xr:uid="{3DA1DD06-2DE1-49A8-A324-92EBEBDFC91C}">
  <cacheSource type="external" connectionId="10">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7"/>
        </ext>
      </extLst>
    </cacheHierarchy>
    <cacheHierarchy uniqueName="[Measures].[StdDev of Hour (Order Time)]" caption="StdDev of Hour (Order 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658300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DC3A8A-D856-4F1F-AF0D-6883FC789C87}" name="PivotTable11" cacheId="1475" applyNumberFormats="0" applyBorderFormats="0" applyFontFormats="0" applyPatternFormats="0" applyAlignmentFormats="0" applyWidthHeightFormats="1" dataCaption="Values" tag="1eb7b9a0-2962-4f65-91cd-dadb917e51c6" updatedVersion="8" minRefreshableVersion="5" useAutoFormatting="1" subtotalHiddenItems="1" itemPrintTitles="1" createdVersion="8" indent="0" outline="1" outlineData="1" multipleFieldFilters="0" chartFormat="10">
  <location ref="A31:B5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caption="StdDev of Hour (Order Time)"/>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D8A0EA-299B-488C-898E-A28E12BF04B0}" name="PivotTable9" cacheId="1487" applyNumberFormats="0" applyBorderFormats="0" applyFontFormats="0" applyPatternFormats="0" applyAlignmentFormats="0" applyWidthHeightFormats="1" dataCaption="Values" tag="8fa831d0-d7ea-4d70-a028-7c29b9f6506a" updatedVersion="8" minRefreshableVersion="5" useAutoFormatting="1" itemPrintTitles="1" createdVersion="8" indent="0" outline="1" outlineData="1" multipleFieldFilters="0" chartFormat="7">
  <location ref="D27:E35"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5A8322-BA06-4235-98B9-B1B7389526F6}" name="PivotTable5" cacheId="1484" applyNumberFormats="0" applyBorderFormats="0" applyFontFormats="0" applyPatternFormats="0" applyAlignmentFormats="0" applyWidthHeightFormats="1" dataCaption="Values" tag="51e1d232-9a1e-402c-870d-810c2420e44b" updatedVersion="8" minRefreshableVersion="5" useAutoFormatting="1" subtotalHiddenItems="1" itemPrintTitles="1" createdVersion="8" indent="0" outline="1" outlineData="1" multipleFieldFilters="0" chartFormat="5">
  <location ref="A17:B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4EC135-289F-4B3E-A31F-C11461E3D02F}" name="PivotTable4" cacheId="1469" applyNumberFormats="0" applyBorderFormats="0" applyFontFormats="0" applyPatternFormats="0" applyAlignmentFormats="0" applyWidthHeightFormats="1" dataCaption="Values" tag="88ce1f1e-84f1-4092-9a3d-a127783ad841" updatedVersion="8" minRefreshableVersion="5" useAutoFormatting="1" itemPrintTitles="1" createdVersion="8" indent="0" outline="1" outlineData="1" multipleFieldFilters="0" chartFormat="5">
  <location ref="D14:E2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5BE46-2BD0-4CAC-9F72-EDE544C5A1E4}" name="PivotTable3" cacheId="1481" applyNumberFormats="0" applyBorderFormats="0" applyFontFormats="0" applyPatternFormats="0" applyAlignmentFormats="0" applyWidthHeightFormats="1" dataCaption="Values" tag="4f301c01-103d-4b09-85a8-e5b2fa1fbd2f" updatedVersion="8" minRefreshableVersion="5" useAutoFormatting="1" itemPrintTitles="1" createdVersion="8" indent="0" outline="1" outlineData="1" multipleFieldFilters="0" chartFormat="29">
  <location ref="D5:E11"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chartFormats count="1">
    <chartFormat chart="2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126A1-C105-4833-8E3B-328606A5F850}" name="PivotTable1" cacheId="1472" applyNumberFormats="0" applyBorderFormats="0" applyFontFormats="0" applyPatternFormats="0" applyAlignmentFormats="0" applyWidthHeightFormats="1" dataCaption="Values" tag="14a2bd76-a5fa-40a4-acd7-0ffc3aba366c" updatedVersion="8" minRefreshableVersion="5" useAutoFormatting="1" itemPrintTitles="1" createdVersion="8" indent="0" outline="1" outlineData="1" multipleFieldFilters="0">
  <location ref="D2:G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Sum of diff_order_delivery" fld="1" baseField="0" baseItem="0"/>
    <dataField name="Average of customer spending" fld="2" subtotal="average" baseField="0" baseItem="2"/>
    <dataField name="Total Orders" fld="3" subtotal="count" baseField="0" baseItem="3"/>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caption="Average of customer spending"/>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DC302D-A58E-4582-A621-952B6331131A}" name="PivotTable2" cacheId="1478" applyNumberFormats="0" applyBorderFormats="0" applyFontFormats="0" applyPatternFormats="0" applyAlignmentFormats="0" applyWidthHeightFormats="1" dataCaption="Values" tag="a3c5dd12-a358-4083-93aa-c9633a6d974d" updatedVersion="8" minRefreshableVersion="5" useAutoFormatting="1" itemPrintTitles="1" createdVersion="8" indent="0" outline="1" outlineData="1" multipleFieldFilters="0" chartFormat="13">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130ED96-B36B-4210-93EA-53530B77C49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82DA346-14B7-4E82-8723-E4B0A8C8F99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F3C079B4-82FD-46C3-B37F-C2110FDABDA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6E8B758-402F-4D53-8EE0-381A40939CF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1994438-9BFC-406E-AECE-AF5B45EF72D8}"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77B29DD-7227-4ECA-9C65-5964A0B72F36}" sourceName="[Orders].[Occasion]">
  <pivotTables>
    <pivotTable tabId="1" name="PivotTable3"/>
    <pivotTable tabId="1" name="PivotTable1"/>
    <pivotTable tabId="1" name="PivotTable11"/>
    <pivotTable tabId="1" name="PivotTable2"/>
    <pivotTable tabId="1" name="PivotTable4"/>
    <pivotTable tabId="1" name="PivotTable5"/>
  </pivotTables>
  <data>
    <olap pivotCacheId="148494427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55E88A8-4748-4099-BD5A-F5E4FE6DA6CF}" cache="Slicer_Occasion" caption="Occasion" level="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EA7EB2-A487-4141-92DB-D5CF614DE82F}"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30C8C-5400-43B6-A909-3921810C4589}" name="fnp_datasets" displayName="fnp_datasets" ref="A1:F4" tableType="queryTable" totalsRowShown="0">
  <autoFilter ref="A1:F4" xr:uid="{19230C8C-5400-43B6-A909-3921810C4589}"/>
  <tableColumns count="6">
    <tableColumn id="1" xr3:uid="{9A266829-B8FD-453F-90E8-C92581F5076F}" uniqueName="1" name="Name" queryTableFieldId="1" dataDxfId="28"/>
    <tableColumn id="2" xr3:uid="{8E3E0C20-C11F-495E-8598-E1E33C8B6C76}" uniqueName="2" name="Extension" queryTableFieldId="2" dataDxfId="27"/>
    <tableColumn id="3" xr3:uid="{EFB1F331-8072-4739-9718-E34FEDA432EE}" uniqueName="3" name="Date accessed" queryTableFieldId="3" dataDxfId="10"/>
    <tableColumn id="4" xr3:uid="{405ECCCF-4493-417F-8FD6-D0627F3EB7DF}" uniqueName="4" name="Date modified" queryTableFieldId="4" dataDxfId="9"/>
    <tableColumn id="5" xr3:uid="{F8A45EB1-39D5-41AC-8380-D82CFD6A0B88}" uniqueName="5" name="Date created" queryTableFieldId="5" dataDxfId="8"/>
    <tableColumn id="6" xr3:uid="{961AE2CD-83A3-44A3-B469-4AE682C3C694}"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0C171-759F-45B9-9CD3-4A7A784C6E4A}" name="Customers" displayName="Customers" ref="A1:G101" tableType="queryTable" totalsRowShown="0">
  <autoFilter ref="A1:G101" xr:uid="{FE90C171-759F-45B9-9CD3-4A7A784C6E4A}"/>
  <tableColumns count="7">
    <tableColumn id="1" xr3:uid="{49754DD4-5621-4D6D-B14B-58C42F1911B4}" uniqueName="1" name="Customer_ID" queryTableFieldId="1" dataDxfId="25"/>
    <tableColumn id="2" xr3:uid="{E00CEEC4-8495-4D8B-8A66-0F82EC518987}" uniqueName="2" name="Name" queryTableFieldId="2" dataDxfId="24"/>
    <tableColumn id="3" xr3:uid="{81E37096-C0BF-4D3A-9AE5-D858DBAE4A43}" uniqueName="3" name="City" queryTableFieldId="3" dataDxfId="23"/>
    <tableColumn id="4" xr3:uid="{12BC56D1-3C7F-4AF6-B6D3-08985B9BD3E6}" uniqueName="4" name="Contact_Number" queryTableFieldId="4" dataDxfId="22"/>
    <tableColumn id="5" xr3:uid="{A14082E5-B516-4F57-8B1C-490952B0F4A1}" uniqueName="5" name="Email" queryTableFieldId="5" dataDxfId="21"/>
    <tableColumn id="6" xr3:uid="{93AF62F5-4C1F-4AF2-B393-2CC1A7F28DD0}" uniqueName="6" name="Gender" queryTableFieldId="6" dataDxfId="20"/>
    <tableColumn id="7" xr3:uid="{7FE99763-9EC8-4C5E-9BCC-4E624AC5985D}"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B24EFD-87FA-4828-80B5-B947BE284496}" name="Orders" displayName="Orders" ref="A1:Q1001" tableType="queryTable" totalsRowShown="0">
  <autoFilter ref="A1:Q1001" xr:uid="{14B24EFD-87FA-4828-80B5-B947BE284496}"/>
  <tableColumns count="17">
    <tableColumn id="1" xr3:uid="{628B814F-E434-4A33-A1E1-060F110D0CD3}" uniqueName="1" name="Order_ID" queryTableFieldId="1"/>
    <tableColumn id="2" xr3:uid="{0F7F431C-2C56-418F-8399-15488DE1D660}" uniqueName="2" name="Customer_ID" queryTableFieldId="2" dataDxfId="18"/>
    <tableColumn id="3" xr3:uid="{7556BC17-C462-4E5B-BCE8-977E83D39E26}" uniqueName="3" name="Product_ID" queryTableFieldId="3"/>
    <tableColumn id="4" xr3:uid="{46CF4B71-458A-4944-8361-95A1367F6634}" uniqueName="4" name="Quantity" queryTableFieldId="4"/>
    <tableColumn id="5" xr3:uid="{F8CAA5D6-6C2C-4A92-9A05-346BDDD6C7A2}" uniqueName="5" name="Order_Date" queryTableFieldId="5" dataDxfId="7"/>
    <tableColumn id="6" xr3:uid="{7900F587-3064-4CEE-A3AD-78CA4ABD733A}" uniqueName="6" name="Order_Time" queryTableFieldId="6" dataDxfId="6"/>
    <tableColumn id="7" xr3:uid="{2AA3646D-42F1-44E8-9266-80489D54496B}" uniqueName="7" name="Delivery_Date" queryTableFieldId="7" dataDxfId="5"/>
    <tableColumn id="8" xr3:uid="{49CA4D3D-8B89-4072-A5FF-3970661FF1A2}" uniqueName="8" name="Delivery_Time" queryTableFieldId="8" dataDxfId="4"/>
    <tableColumn id="9" xr3:uid="{6509FE48-FC05-40CA-A4E8-A34C2CD2B16A}" uniqueName="9" name="Location" queryTableFieldId="9" dataDxfId="17"/>
    <tableColumn id="10" xr3:uid="{1664CE2E-FE55-49B9-9F43-EAEA9889F2C3}" uniqueName="10" name="Occasion" queryTableFieldId="10" dataDxfId="16"/>
    <tableColumn id="11" xr3:uid="{E5F0D319-E5AC-4C00-85CB-9AA8B5CDDA80}" uniqueName="11" name="Month Name" queryTableFieldId="11" dataDxfId="15"/>
    <tableColumn id="12" xr3:uid="{40067C81-D497-47CA-A485-3A93313322DE}" uniqueName="12" name="Hour (Order Time)" queryTableFieldId="12"/>
    <tableColumn id="13" xr3:uid="{82BF7A65-6FFE-4069-BF66-B2D72D910A68}" uniqueName="13" name="diff_order_delivery" queryTableFieldId="13"/>
    <tableColumn id="14" xr3:uid="{83CA8A01-81B0-42CD-830C-4823A6CAC2F6}" uniqueName="14" name="Hour (Delivery Time)" queryTableFieldId="14"/>
    <tableColumn id="15" xr3:uid="{252EB046-CA6F-4FEA-BA20-F126A37BF873}" uniqueName="15" name="Price (INR)" queryTableFieldId="15"/>
    <tableColumn id="16" xr3:uid="{5631F6CD-3200-4176-861D-F6A6212C6706}" uniqueName="16" name="Revenue" queryTableFieldId="16"/>
    <tableColumn id="17" xr3:uid="{09F1D96C-B87D-4DF4-9999-A16133BF06DE}"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6A5FD2-8A19-4606-842B-1FC96250AFBF}" name="Products" displayName="Products" ref="A1:F71" tableType="queryTable" totalsRowShown="0">
  <autoFilter ref="A1:F71" xr:uid="{8D6A5FD2-8A19-4606-842B-1FC96250AFBF}"/>
  <tableColumns count="6">
    <tableColumn id="1" xr3:uid="{50E1F855-CD6E-480F-9C62-261BD9C2B12F}" uniqueName="1" name="Product_ID" queryTableFieldId="1"/>
    <tableColumn id="2" xr3:uid="{A303E953-D0DB-4A03-9AFE-4507D2693610}" uniqueName="2" name="Product_Name" queryTableFieldId="2" dataDxfId="14"/>
    <tableColumn id="3" xr3:uid="{90CE10B9-9F47-4DFA-8A5E-ECF51A69CF4A}" uniqueName="3" name="Category" queryTableFieldId="3" dataDxfId="13"/>
    <tableColumn id="4" xr3:uid="{C45D7CFE-C0DB-4E00-939E-EF46662B9EDD}" uniqueName="4" name="Price (INR)" queryTableFieldId="4"/>
    <tableColumn id="5" xr3:uid="{B0E8AE0C-D3B2-4077-A0D5-7B4ADFB5FD7D}" uniqueName="5" name="Occasion" queryTableFieldId="5" dataDxfId="12"/>
    <tableColumn id="6" xr3:uid="{23D6F8C4-D972-4C4D-B8DA-7F173CB73AEA}" uniqueName="6" name="Description" queryTableFieldId="6"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50FF48-D456-4ECF-8334-DC21A677D504}" name="Table_ExternalData_1" displayName="Table_ExternalData_1" ref="A3:Q137" tableType="queryTable" totalsRowShown="0">
  <autoFilter ref="A3:Q137" xr:uid="{2550FF48-D456-4ECF-8334-DC21A677D504}"/>
  <tableColumns count="17">
    <tableColumn id="1" xr3:uid="{C1E4CB1F-03DD-4DAF-905D-3D5221E90CD1}" uniqueName="1" name="Orders[Order_ID]" queryTableFieldId="1"/>
    <tableColumn id="2" xr3:uid="{9B1C5B09-EF18-4146-9450-DCC5A20A8AE7}" uniqueName="2" name="Orders[Customer_ID]" queryTableFieldId="2"/>
    <tableColumn id="3" xr3:uid="{6766E0E8-B369-46C6-B821-E00145A53050}" uniqueName="3" name="Orders[Product_ID]" queryTableFieldId="3"/>
    <tableColumn id="4" xr3:uid="{5A15A43B-C845-4FC3-B7A2-A1419D9511BB}" uniqueName="4" name="Orders[Quantity]" queryTableFieldId="4"/>
    <tableColumn id="5" xr3:uid="{218E8802-FBD4-4884-ACFE-D25F88D118F5}" uniqueName="5" name="Orders[Order_Date]" queryTableFieldId="5" dataDxfId="3"/>
    <tableColumn id="6" xr3:uid="{DCBFD303-D0CA-4902-9F9B-702C7C02FC7A}" uniqueName="6" name="Orders[Order_Time]" queryTableFieldId="6" dataDxfId="2"/>
    <tableColumn id="7" xr3:uid="{35DB3E1A-7FBC-40C7-840F-4EE8E1AC7A9C}" uniqueName="7" name="Orders[Delivery_Date]" queryTableFieldId="7" dataDxfId="1"/>
    <tableColumn id="8" xr3:uid="{5137E326-4122-41C5-B51F-349C7D1F504B}" uniqueName="8" name="Orders[Delivery_Time]" queryTableFieldId="8" dataDxfId="0"/>
    <tableColumn id="9" xr3:uid="{2D4A7C1E-0790-4097-9B57-7828A52B6F5D}" uniqueName="9" name="Orders[Location]" queryTableFieldId="9"/>
    <tableColumn id="10" xr3:uid="{BD59FA6E-FE84-4F60-A2A1-683D95FFCE28}" uniqueName="10" name="Orders[Occasion]" queryTableFieldId="10"/>
    <tableColumn id="11" xr3:uid="{8C421911-FE13-4B4B-A103-60C49F4AC2F2}" uniqueName="11" name="Orders[Month Name]" queryTableFieldId="11"/>
    <tableColumn id="12" xr3:uid="{B3BAF32E-8A52-4A41-8420-7C4A510C99DA}" uniqueName="12" name="Orders[Hour (Order Time)]" queryTableFieldId="12"/>
    <tableColumn id="13" xr3:uid="{0FA9793C-033E-46A3-85E4-37D8459FF728}" uniqueName="13" name="Orders[diff_order_delivery]" queryTableFieldId="13"/>
    <tableColumn id="14" xr3:uid="{C6F9D1F7-100F-4B1A-A41C-4C3DE48CB2F2}" uniqueName="14" name="Orders[Hour (Delivery Time)]" queryTableFieldId="14"/>
    <tableColumn id="15" xr3:uid="{A659F536-6692-47CD-98D3-E91DE7E2962F}" uniqueName="15" name="Orders[Price (INR)]" queryTableFieldId="15"/>
    <tableColumn id="16" xr3:uid="{ADE81F3F-F5B7-4884-A0DD-37D85A458E44}" uniqueName="16" name="Orders[Revenue]" queryTableFieldId="16"/>
    <tableColumn id="17" xr3:uid="{AAF77019-CEAD-44C2-8A82-50BC9497B15E}" uniqueName="17" name="Orders[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BCE8CB1-DB42-4CDA-9F68-36E18213939B}" sourceName="[Orders].[Order_Date]">
  <pivotTables>
    <pivotTable tabId="1" name="PivotTable4"/>
    <pivotTable tabId="1" name="PivotTable1"/>
    <pivotTable tabId="1" name="PivotTable11"/>
    <pivotTable tabId="1" name="PivotTable2"/>
    <pivotTable tabId="1" name="PivotTable3"/>
    <pivotTable tabId="1" name="PivotTable5"/>
    <pivotTable tabId="1" name="PivotTable9"/>
  </pivotTables>
  <state minimalRefreshVersion="6" lastRefreshVersion="6" pivotCacheId="26583001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350385A-86AA-474F-8A6A-0CBD30AA9DFE}" sourceName="[Orders].[Delivery_Date]">
  <pivotTables>
    <pivotTable tabId="1" name="PivotTable4"/>
    <pivotTable tabId="1" name="PivotTable1"/>
    <pivotTable tabId="1" name="PivotTable11"/>
    <pivotTable tabId="1" name="PivotTable2"/>
    <pivotTable tabId="1" name="PivotTable3"/>
    <pivotTable tabId="1" name="PivotTable5"/>
    <pivotTable tabId="1" name="PivotTable9"/>
  </pivotTables>
  <state minimalRefreshVersion="6" lastRefreshVersion="6" pivotCacheId="26583001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35FF6C3-BFFD-49FD-8A77-C703B9E57325}" cache="Timeline_Order_Date" caption="Order_Date" level="3" selectionLevel="3" scrollPosition="2023-01-13T00:00:00"/>
  <timeline name="Delivery_Date" xr10:uid="{8D8E72AA-326E-4E37-B114-089D0E1CFA79}" cache="Timeline_Delivery_Date" caption="Delivery_Date" level="2" selectionLevel="2" scrollPosition="2023-09-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84EC-2FCD-4B82-A94B-3E354A9A6A5D}">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60.7265625" bestFit="1" customWidth="1"/>
  </cols>
  <sheetData>
    <row r="1" spans="1:6" x14ac:dyDescent="0.35">
      <c r="A1" t="s">
        <v>0</v>
      </c>
      <c r="B1" t="s">
        <v>1</v>
      </c>
      <c r="C1" t="s">
        <v>2</v>
      </c>
      <c r="D1" t="s">
        <v>3</v>
      </c>
      <c r="E1" t="s">
        <v>4</v>
      </c>
      <c r="F1" t="s">
        <v>5</v>
      </c>
    </row>
    <row r="2" spans="1:6" x14ac:dyDescent="0.35">
      <c r="A2" t="s">
        <v>6</v>
      </c>
      <c r="B2" t="s">
        <v>7</v>
      </c>
      <c r="C2" s="1">
        <v>46076.768374691361</v>
      </c>
      <c r="D2" s="1">
        <v>46076.680822415125</v>
      </c>
      <c r="E2" s="1">
        <v>46076.681644984565</v>
      </c>
      <c r="F2" t="s">
        <v>8</v>
      </c>
    </row>
    <row r="3" spans="1:6" x14ac:dyDescent="0.35">
      <c r="A3" t="s">
        <v>9</v>
      </c>
      <c r="B3" t="s">
        <v>7</v>
      </c>
      <c r="C3" s="1">
        <v>46076.742047067899</v>
      </c>
      <c r="D3" s="1">
        <v>46076.680822608025</v>
      </c>
      <c r="E3" s="1">
        <v>46076.681645138888</v>
      </c>
      <c r="F3" t="s">
        <v>8</v>
      </c>
    </row>
    <row r="4" spans="1:6" x14ac:dyDescent="0.35">
      <c r="A4" t="s">
        <v>10</v>
      </c>
      <c r="B4" t="s">
        <v>7</v>
      </c>
      <c r="C4" s="1">
        <v>46076.765276041668</v>
      </c>
      <c r="D4" s="1">
        <v>46076.680822800925</v>
      </c>
      <c r="E4" s="1">
        <v>46076.681645254626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6D10B-700E-447D-A999-347DA8593B25}">
  <dimension ref="A1:G101"/>
  <sheetViews>
    <sheetView topLeftCell="A13"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B5125-F071-436A-BC2B-F848A8EE3333}">
  <dimension ref="A1:Q1001"/>
  <sheetViews>
    <sheetView topLeftCell="L1" workbookViewId="0">
      <selection activeCell="D1" sqref="D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54296875" bestFit="1" customWidth="1"/>
    <col min="13" max="13" width="19.26953125" bestFit="1" customWidth="1"/>
    <col min="14" max="14" width="20.453125" bestFit="1" customWidth="1"/>
    <col min="15" max="15" width="11.81640625" bestFit="1" customWidth="1"/>
    <col min="16" max="16" width="10.26953125" bestFit="1" customWidth="1"/>
    <col min="17" max="17" width="22.906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5E8E-2CE3-4C01-A6E2-04601A47434E}">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275A-A715-45F8-A3D0-C8FDA87916B9}">
  <dimension ref="A1:Q137"/>
  <sheetViews>
    <sheetView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18.54296875" bestFit="1" customWidth="1"/>
    <col min="10" max="10" width="17.6328125" bestFit="1" customWidth="1"/>
    <col min="11" max="11" width="21.36328125" bestFit="1" customWidth="1"/>
    <col min="12" max="12" width="25.7265625" bestFit="1" customWidth="1"/>
    <col min="13" max="13" width="26.36328125" bestFit="1" customWidth="1"/>
    <col min="14" max="14" width="27.6328125" bestFit="1" customWidth="1"/>
    <col min="15" max="15" width="18.90625" bestFit="1" customWidth="1"/>
    <col min="16" max="16" width="17.36328125" bestFit="1" customWidth="1"/>
    <col min="17" max="17" width="30.08984375" bestFit="1" customWidth="1"/>
  </cols>
  <sheetData>
    <row r="1" spans="1:17" x14ac:dyDescent="0.35">
      <c r="A1" s="9" t="s">
        <v>1033</v>
      </c>
    </row>
    <row r="3" spans="1:17" x14ac:dyDescent="0.35">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5">
      <c r="A4">
        <v>48</v>
      </c>
      <c r="B4" t="s">
        <v>198</v>
      </c>
      <c r="C4">
        <v>65</v>
      </c>
      <c r="D4">
        <v>4</v>
      </c>
      <c r="E4" s="2">
        <v>45242</v>
      </c>
      <c r="F4" s="8">
        <v>0.83368055555555554</v>
      </c>
      <c r="G4" s="2">
        <v>45246</v>
      </c>
      <c r="H4" s="8">
        <v>0.23034722222222223</v>
      </c>
      <c r="I4" t="s">
        <v>351</v>
      </c>
      <c r="J4" t="s">
        <v>699</v>
      </c>
      <c r="K4" t="s">
        <v>822</v>
      </c>
      <c r="L4">
        <v>20</v>
      </c>
      <c r="M4">
        <v>4</v>
      </c>
      <c r="N4">
        <v>5</v>
      </c>
      <c r="O4">
        <v>1895</v>
      </c>
      <c r="P4">
        <v>7580</v>
      </c>
      <c r="Q4" t="s">
        <v>1010</v>
      </c>
    </row>
    <row r="5" spans="1:17" x14ac:dyDescent="0.35">
      <c r="A5">
        <v>99</v>
      </c>
      <c r="B5" t="s">
        <v>311</v>
      </c>
      <c r="C5">
        <v>38</v>
      </c>
      <c r="D5">
        <v>3</v>
      </c>
      <c r="E5" s="2">
        <v>45234</v>
      </c>
      <c r="F5" s="8">
        <v>0.58386574074074071</v>
      </c>
      <c r="G5" s="2">
        <v>45235</v>
      </c>
      <c r="H5" s="8">
        <v>0.65599537037037037</v>
      </c>
      <c r="I5" t="s">
        <v>823</v>
      </c>
      <c r="J5" t="s">
        <v>707</v>
      </c>
      <c r="K5" t="s">
        <v>822</v>
      </c>
      <c r="L5">
        <v>14</v>
      </c>
      <c r="M5">
        <v>1</v>
      </c>
      <c r="N5">
        <v>15</v>
      </c>
      <c r="O5">
        <v>562</v>
      </c>
      <c r="P5">
        <v>1686</v>
      </c>
      <c r="Q5" t="s">
        <v>1007</v>
      </c>
    </row>
    <row r="6" spans="1:17" x14ac:dyDescent="0.35">
      <c r="A6">
        <v>113</v>
      </c>
      <c r="B6" t="s">
        <v>204</v>
      </c>
      <c r="C6">
        <v>1</v>
      </c>
      <c r="D6">
        <v>3</v>
      </c>
      <c r="E6" s="2">
        <v>45244</v>
      </c>
      <c r="F6" s="8">
        <v>0.64618055555555554</v>
      </c>
      <c r="G6" s="2">
        <v>45253</v>
      </c>
      <c r="H6" s="8">
        <v>0.1852662037037037</v>
      </c>
      <c r="I6" t="s">
        <v>26</v>
      </c>
      <c r="J6" t="s">
        <v>699</v>
      </c>
      <c r="K6" t="s">
        <v>822</v>
      </c>
      <c r="L6">
        <v>15</v>
      </c>
      <c r="M6">
        <v>9</v>
      </c>
      <c r="N6">
        <v>4</v>
      </c>
      <c r="O6">
        <v>1935</v>
      </c>
      <c r="P6">
        <v>5805</v>
      </c>
      <c r="Q6" t="s">
        <v>1012</v>
      </c>
    </row>
    <row r="7" spans="1:17" x14ac:dyDescent="0.35">
      <c r="A7">
        <v>154</v>
      </c>
      <c r="B7" t="s">
        <v>305</v>
      </c>
      <c r="C7">
        <v>45</v>
      </c>
      <c r="D7">
        <v>5</v>
      </c>
      <c r="E7" s="2">
        <v>45251</v>
      </c>
      <c r="F7" s="8">
        <v>0.96826388888888892</v>
      </c>
      <c r="G7" s="2">
        <v>45255</v>
      </c>
      <c r="H7" s="8">
        <v>8.6793981481481486E-2</v>
      </c>
      <c r="I7" t="s">
        <v>212</v>
      </c>
      <c r="J7" t="s">
        <v>707</v>
      </c>
      <c r="K7" t="s">
        <v>822</v>
      </c>
      <c r="L7">
        <v>23</v>
      </c>
      <c r="M7">
        <v>4</v>
      </c>
      <c r="N7">
        <v>2</v>
      </c>
      <c r="O7">
        <v>722</v>
      </c>
      <c r="P7">
        <v>3610</v>
      </c>
      <c r="Q7" t="s">
        <v>1012</v>
      </c>
    </row>
    <row r="8" spans="1:17" x14ac:dyDescent="0.35">
      <c r="A8">
        <v>178</v>
      </c>
      <c r="B8" t="s">
        <v>582</v>
      </c>
      <c r="C8">
        <v>61</v>
      </c>
      <c r="D8">
        <v>1</v>
      </c>
      <c r="E8" s="2">
        <v>45244</v>
      </c>
      <c r="F8" s="8">
        <v>0.96146990740740745</v>
      </c>
      <c r="G8" s="2">
        <v>45246</v>
      </c>
      <c r="H8" s="8">
        <v>9.3321759259259257E-2</v>
      </c>
      <c r="I8" t="s">
        <v>478</v>
      </c>
      <c r="J8" t="s">
        <v>698</v>
      </c>
      <c r="K8" t="s">
        <v>822</v>
      </c>
      <c r="L8">
        <v>23</v>
      </c>
      <c r="M8">
        <v>2</v>
      </c>
      <c r="N8">
        <v>2</v>
      </c>
      <c r="O8">
        <v>810</v>
      </c>
      <c r="P8">
        <v>810</v>
      </c>
      <c r="Q8" t="s">
        <v>1012</v>
      </c>
    </row>
    <row r="9" spans="1:17" x14ac:dyDescent="0.35">
      <c r="A9">
        <v>189</v>
      </c>
      <c r="B9" t="s">
        <v>108</v>
      </c>
      <c r="C9">
        <v>57</v>
      </c>
      <c r="D9">
        <v>1</v>
      </c>
      <c r="E9" s="2">
        <v>45249</v>
      </c>
      <c r="F9" s="8">
        <v>0.7238310185185185</v>
      </c>
      <c r="G9" s="2">
        <v>45252</v>
      </c>
      <c r="H9" s="8">
        <v>0.55687500000000001</v>
      </c>
      <c r="I9" t="s">
        <v>391</v>
      </c>
      <c r="J9" t="s">
        <v>707</v>
      </c>
      <c r="K9" t="s">
        <v>822</v>
      </c>
      <c r="L9">
        <v>17</v>
      </c>
      <c r="M9">
        <v>3</v>
      </c>
      <c r="N9">
        <v>13</v>
      </c>
      <c r="O9">
        <v>1582</v>
      </c>
      <c r="P9">
        <v>1582</v>
      </c>
      <c r="Q9" t="s">
        <v>1010</v>
      </c>
    </row>
    <row r="10" spans="1:17" x14ac:dyDescent="0.35">
      <c r="A10">
        <v>273</v>
      </c>
      <c r="B10" t="s">
        <v>293</v>
      </c>
      <c r="C10">
        <v>10</v>
      </c>
      <c r="D10">
        <v>2</v>
      </c>
      <c r="E10" s="2">
        <v>45252</v>
      </c>
      <c r="F10" s="8">
        <v>0.67540509259259263</v>
      </c>
      <c r="G10" s="2">
        <v>45254</v>
      </c>
      <c r="H10" s="8">
        <v>7.8333333333333338E-2</v>
      </c>
      <c r="I10" t="s">
        <v>749</v>
      </c>
      <c r="J10" t="s">
        <v>707</v>
      </c>
      <c r="K10" t="s">
        <v>822</v>
      </c>
      <c r="L10">
        <v>16</v>
      </c>
      <c r="M10">
        <v>2</v>
      </c>
      <c r="N10">
        <v>1</v>
      </c>
      <c r="O10">
        <v>259</v>
      </c>
      <c r="P10">
        <v>518</v>
      </c>
      <c r="Q10" t="s">
        <v>1008</v>
      </c>
    </row>
    <row r="11" spans="1:17" x14ac:dyDescent="0.35">
      <c r="A11">
        <v>279</v>
      </c>
      <c r="B11" t="s">
        <v>407</v>
      </c>
      <c r="C11">
        <v>23</v>
      </c>
      <c r="D11">
        <v>4</v>
      </c>
      <c r="E11" s="2">
        <v>45254</v>
      </c>
      <c r="F11" s="8">
        <v>0.38525462962962964</v>
      </c>
      <c r="G11" s="2">
        <v>45256</v>
      </c>
      <c r="H11" s="8">
        <v>0.74401620370370369</v>
      </c>
      <c r="I11" t="s">
        <v>63</v>
      </c>
      <c r="J11" t="s">
        <v>698</v>
      </c>
      <c r="K11" t="s">
        <v>822</v>
      </c>
      <c r="L11">
        <v>9</v>
      </c>
      <c r="M11">
        <v>2</v>
      </c>
      <c r="N11">
        <v>17</v>
      </c>
      <c r="O11">
        <v>1098</v>
      </c>
      <c r="P11">
        <v>4392</v>
      </c>
      <c r="Q11" t="s">
        <v>1009</v>
      </c>
    </row>
    <row r="12" spans="1:17" x14ac:dyDescent="0.35">
      <c r="A12">
        <v>283</v>
      </c>
      <c r="B12" t="s">
        <v>518</v>
      </c>
      <c r="C12">
        <v>23</v>
      </c>
      <c r="D12">
        <v>2</v>
      </c>
      <c r="E12" s="2">
        <v>45253</v>
      </c>
      <c r="F12" s="8">
        <v>0.11914351851851852</v>
      </c>
      <c r="G12" s="2">
        <v>45260</v>
      </c>
      <c r="H12" s="8">
        <v>0.76504629629629628</v>
      </c>
      <c r="I12" t="s">
        <v>808</v>
      </c>
      <c r="J12" t="s">
        <v>698</v>
      </c>
      <c r="K12" t="s">
        <v>822</v>
      </c>
      <c r="L12">
        <v>2</v>
      </c>
      <c r="M12">
        <v>7</v>
      </c>
      <c r="N12">
        <v>18</v>
      </c>
      <c r="O12">
        <v>1098</v>
      </c>
      <c r="P12">
        <v>2196</v>
      </c>
      <c r="Q12" t="s">
        <v>1013</v>
      </c>
    </row>
    <row r="13" spans="1:17" x14ac:dyDescent="0.35">
      <c r="A13">
        <v>299</v>
      </c>
      <c r="B13" t="s">
        <v>547</v>
      </c>
      <c r="C13">
        <v>8</v>
      </c>
      <c r="D13">
        <v>5</v>
      </c>
      <c r="E13" s="2">
        <v>45238</v>
      </c>
      <c r="F13" s="8">
        <v>0.49399305555555556</v>
      </c>
      <c r="G13" s="2">
        <v>45247</v>
      </c>
      <c r="H13" s="8">
        <v>0.55406250000000001</v>
      </c>
      <c r="I13" t="s">
        <v>224</v>
      </c>
      <c r="J13" t="s">
        <v>698</v>
      </c>
      <c r="K13" t="s">
        <v>822</v>
      </c>
      <c r="L13">
        <v>11</v>
      </c>
      <c r="M13">
        <v>9</v>
      </c>
      <c r="N13">
        <v>13</v>
      </c>
      <c r="O13">
        <v>252</v>
      </c>
      <c r="P13">
        <v>1260</v>
      </c>
      <c r="Q13" t="s">
        <v>1008</v>
      </c>
    </row>
    <row r="14" spans="1:17" x14ac:dyDescent="0.35">
      <c r="A14">
        <v>303</v>
      </c>
      <c r="B14" t="s">
        <v>316</v>
      </c>
      <c r="C14">
        <v>14</v>
      </c>
      <c r="D14">
        <v>1</v>
      </c>
      <c r="E14" s="2">
        <v>45250</v>
      </c>
      <c r="F14" s="8">
        <v>0.27982638888888889</v>
      </c>
      <c r="G14" s="2">
        <v>45259</v>
      </c>
      <c r="H14" s="8">
        <v>0.29724537037037035</v>
      </c>
      <c r="I14" t="s">
        <v>721</v>
      </c>
      <c r="J14" t="s">
        <v>707</v>
      </c>
      <c r="K14" t="s">
        <v>822</v>
      </c>
      <c r="L14">
        <v>6</v>
      </c>
      <c r="M14">
        <v>9</v>
      </c>
      <c r="N14">
        <v>7</v>
      </c>
      <c r="O14">
        <v>1915</v>
      </c>
      <c r="P14">
        <v>1915</v>
      </c>
      <c r="Q14" t="s">
        <v>1011</v>
      </c>
    </row>
    <row r="15" spans="1:17" x14ac:dyDescent="0.35">
      <c r="A15">
        <v>335</v>
      </c>
      <c r="B15" t="s">
        <v>90</v>
      </c>
      <c r="C15">
        <v>17</v>
      </c>
      <c r="D15">
        <v>2</v>
      </c>
      <c r="E15" s="2">
        <v>45236</v>
      </c>
      <c r="F15" s="8">
        <v>8.998842592592593E-2</v>
      </c>
      <c r="G15" s="2">
        <v>45238</v>
      </c>
      <c r="H15" s="8">
        <v>9.9583333333333329E-2</v>
      </c>
      <c r="I15" t="s">
        <v>584</v>
      </c>
      <c r="J15" t="s">
        <v>698</v>
      </c>
      <c r="K15" t="s">
        <v>822</v>
      </c>
      <c r="L15">
        <v>2</v>
      </c>
      <c r="M15">
        <v>2</v>
      </c>
      <c r="N15">
        <v>2</v>
      </c>
      <c r="O15">
        <v>1899</v>
      </c>
      <c r="P15">
        <v>3798</v>
      </c>
      <c r="Q15" t="s">
        <v>1011</v>
      </c>
    </row>
    <row r="16" spans="1:17" x14ac:dyDescent="0.35">
      <c r="A16">
        <v>342</v>
      </c>
      <c r="B16" t="s">
        <v>377</v>
      </c>
      <c r="C16">
        <v>36</v>
      </c>
      <c r="D16">
        <v>5</v>
      </c>
      <c r="E16" s="2">
        <v>45233</v>
      </c>
      <c r="F16" s="8">
        <v>0.16924768518518518</v>
      </c>
      <c r="G16" s="2">
        <v>45238</v>
      </c>
      <c r="H16" s="8">
        <v>0.68490740740740741</v>
      </c>
      <c r="I16" t="s">
        <v>663</v>
      </c>
      <c r="J16" t="s">
        <v>707</v>
      </c>
      <c r="K16" t="s">
        <v>822</v>
      </c>
      <c r="L16">
        <v>4</v>
      </c>
      <c r="M16">
        <v>5</v>
      </c>
      <c r="N16">
        <v>16</v>
      </c>
      <c r="O16">
        <v>203</v>
      </c>
      <c r="P16">
        <v>1015</v>
      </c>
      <c r="Q16" t="s">
        <v>1009</v>
      </c>
    </row>
    <row r="17" spans="1:17" x14ac:dyDescent="0.35">
      <c r="A17">
        <v>348</v>
      </c>
      <c r="B17" t="s">
        <v>366</v>
      </c>
      <c r="C17">
        <v>30</v>
      </c>
      <c r="D17">
        <v>2</v>
      </c>
      <c r="E17" s="2">
        <v>45258</v>
      </c>
      <c r="F17" s="8">
        <v>0.85667824074074073</v>
      </c>
      <c r="G17" s="2">
        <v>45267</v>
      </c>
      <c r="H17" s="8">
        <v>0.50207175925925929</v>
      </c>
      <c r="I17" t="s">
        <v>362</v>
      </c>
      <c r="J17" t="s">
        <v>698</v>
      </c>
      <c r="K17" t="s">
        <v>822</v>
      </c>
      <c r="L17">
        <v>20</v>
      </c>
      <c r="M17">
        <v>9</v>
      </c>
      <c r="N17">
        <v>12</v>
      </c>
      <c r="O17">
        <v>751</v>
      </c>
      <c r="P17">
        <v>1502</v>
      </c>
      <c r="Q17" t="s">
        <v>1012</v>
      </c>
    </row>
    <row r="18" spans="1:17" x14ac:dyDescent="0.35">
      <c r="A18">
        <v>363</v>
      </c>
      <c r="B18" t="s">
        <v>144</v>
      </c>
      <c r="C18">
        <v>15</v>
      </c>
      <c r="D18">
        <v>2</v>
      </c>
      <c r="E18" s="2">
        <v>45257</v>
      </c>
      <c r="F18" s="8">
        <v>0.79237268518518522</v>
      </c>
      <c r="G18" s="2">
        <v>45265</v>
      </c>
      <c r="H18" s="8">
        <v>7.6805555555555557E-2</v>
      </c>
      <c r="I18" t="s">
        <v>713</v>
      </c>
      <c r="J18" t="s">
        <v>698</v>
      </c>
      <c r="K18" t="s">
        <v>822</v>
      </c>
      <c r="L18">
        <v>19</v>
      </c>
      <c r="M18">
        <v>8</v>
      </c>
      <c r="N18">
        <v>1</v>
      </c>
      <c r="O18">
        <v>1488</v>
      </c>
      <c r="P18">
        <v>2976</v>
      </c>
      <c r="Q18" t="s">
        <v>1011</v>
      </c>
    </row>
    <row r="19" spans="1:17" x14ac:dyDescent="0.35">
      <c r="A19">
        <v>372</v>
      </c>
      <c r="B19" t="s">
        <v>49</v>
      </c>
      <c r="C19">
        <v>25</v>
      </c>
      <c r="D19">
        <v>3</v>
      </c>
      <c r="E19" s="2">
        <v>45238</v>
      </c>
      <c r="F19" s="8">
        <v>0.79473379629629626</v>
      </c>
      <c r="G19" s="2">
        <v>45248</v>
      </c>
      <c r="H19" s="8">
        <v>0.76997685185185183</v>
      </c>
      <c r="I19" t="s">
        <v>248</v>
      </c>
      <c r="J19" t="s">
        <v>698</v>
      </c>
      <c r="K19" t="s">
        <v>822</v>
      </c>
      <c r="L19">
        <v>19</v>
      </c>
      <c r="M19">
        <v>10</v>
      </c>
      <c r="N19">
        <v>18</v>
      </c>
      <c r="O19">
        <v>1202</v>
      </c>
      <c r="P19">
        <v>3606</v>
      </c>
      <c r="Q19" t="s">
        <v>1008</v>
      </c>
    </row>
    <row r="20" spans="1:17" x14ac:dyDescent="0.35">
      <c r="A20">
        <v>388</v>
      </c>
      <c r="B20" t="s">
        <v>401</v>
      </c>
      <c r="C20">
        <v>36</v>
      </c>
      <c r="D20">
        <v>2</v>
      </c>
      <c r="E20" s="2">
        <v>45240</v>
      </c>
      <c r="F20" s="8">
        <v>1.0532407407407407E-2</v>
      </c>
      <c r="G20" s="2">
        <v>45248</v>
      </c>
      <c r="H20" s="8">
        <v>0.44243055555555555</v>
      </c>
      <c r="I20" t="s">
        <v>824</v>
      </c>
      <c r="J20" t="s">
        <v>707</v>
      </c>
      <c r="K20" t="s">
        <v>822</v>
      </c>
      <c r="L20">
        <v>0</v>
      </c>
      <c r="M20">
        <v>8</v>
      </c>
      <c r="N20">
        <v>10</v>
      </c>
      <c r="O20">
        <v>203</v>
      </c>
      <c r="P20">
        <v>406</v>
      </c>
      <c r="Q20" t="s">
        <v>1009</v>
      </c>
    </row>
    <row r="21" spans="1:17" x14ac:dyDescent="0.35">
      <c r="A21">
        <v>393</v>
      </c>
      <c r="B21" t="s">
        <v>524</v>
      </c>
      <c r="C21">
        <v>17</v>
      </c>
      <c r="D21">
        <v>5</v>
      </c>
      <c r="E21" s="2">
        <v>45244</v>
      </c>
      <c r="F21" s="8">
        <v>0.45923611111111112</v>
      </c>
      <c r="G21" s="2">
        <v>45252</v>
      </c>
      <c r="H21" s="8">
        <v>0.6741435185185185</v>
      </c>
      <c r="I21" t="s">
        <v>825</v>
      </c>
      <c r="J21" t="s">
        <v>698</v>
      </c>
      <c r="K21" t="s">
        <v>822</v>
      </c>
      <c r="L21">
        <v>11</v>
      </c>
      <c r="M21">
        <v>8</v>
      </c>
      <c r="N21">
        <v>16</v>
      </c>
      <c r="O21">
        <v>1899</v>
      </c>
      <c r="P21">
        <v>9495</v>
      </c>
      <c r="Q21" t="s">
        <v>1012</v>
      </c>
    </row>
    <row r="22" spans="1:17" x14ac:dyDescent="0.35">
      <c r="A22">
        <v>434</v>
      </c>
      <c r="B22" t="s">
        <v>132</v>
      </c>
      <c r="C22">
        <v>51</v>
      </c>
      <c r="D22">
        <v>4</v>
      </c>
      <c r="E22" s="2">
        <v>45258</v>
      </c>
      <c r="F22" s="8">
        <v>0.30770833333333331</v>
      </c>
      <c r="G22" s="2">
        <v>45259</v>
      </c>
      <c r="H22" s="8">
        <v>0.8218981481481481</v>
      </c>
      <c r="I22" t="s">
        <v>712</v>
      </c>
      <c r="J22" t="s">
        <v>699</v>
      </c>
      <c r="K22" t="s">
        <v>822</v>
      </c>
      <c r="L22">
        <v>7</v>
      </c>
      <c r="M22">
        <v>1</v>
      </c>
      <c r="N22">
        <v>19</v>
      </c>
      <c r="O22">
        <v>1084</v>
      </c>
      <c r="P22">
        <v>4336</v>
      </c>
      <c r="Q22" t="s">
        <v>1012</v>
      </c>
    </row>
    <row r="23" spans="1:17" x14ac:dyDescent="0.35">
      <c r="A23">
        <v>534</v>
      </c>
      <c r="B23" t="s">
        <v>372</v>
      </c>
      <c r="C23">
        <v>31</v>
      </c>
      <c r="D23">
        <v>2</v>
      </c>
      <c r="E23" s="2">
        <v>45257</v>
      </c>
      <c r="F23" s="8">
        <v>0.15296296296296297</v>
      </c>
      <c r="G23" s="2">
        <v>45264</v>
      </c>
      <c r="H23" s="8">
        <v>0.47403935185185186</v>
      </c>
      <c r="I23" t="s">
        <v>800</v>
      </c>
      <c r="J23" t="s">
        <v>699</v>
      </c>
      <c r="K23" t="s">
        <v>822</v>
      </c>
      <c r="L23">
        <v>3</v>
      </c>
      <c r="M23">
        <v>7</v>
      </c>
      <c r="N23">
        <v>11</v>
      </c>
      <c r="O23">
        <v>1804</v>
      </c>
      <c r="P23">
        <v>3608</v>
      </c>
      <c r="Q23" t="s">
        <v>1011</v>
      </c>
    </row>
    <row r="24" spans="1:17" x14ac:dyDescent="0.35">
      <c r="A24">
        <v>541</v>
      </c>
      <c r="B24" t="s">
        <v>55</v>
      </c>
      <c r="C24">
        <v>24</v>
      </c>
      <c r="D24">
        <v>3</v>
      </c>
      <c r="E24" s="2">
        <v>45243</v>
      </c>
      <c r="F24" s="8">
        <v>0.24385416666666668</v>
      </c>
      <c r="G24" s="2">
        <v>45246</v>
      </c>
      <c r="H24" s="8">
        <v>0.95594907407407403</v>
      </c>
      <c r="I24" t="s">
        <v>200</v>
      </c>
      <c r="J24" t="s">
        <v>707</v>
      </c>
      <c r="K24" t="s">
        <v>822</v>
      </c>
      <c r="L24">
        <v>5</v>
      </c>
      <c r="M24">
        <v>3</v>
      </c>
      <c r="N24">
        <v>22</v>
      </c>
      <c r="O24">
        <v>535</v>
      </c>
      <c r="P24">
        <v>1605</v>
      </c>
      <c r="Q24" t="s">
        <v>1011</v>
      </c>
    </row>
    <row r="25" spans="1:17" x14ac:dyDescent="0.35">
      <c r="A25">
        <v>595</v>
      </c>
      <c r="B25" t="s">
        <v>144</v>
      </c>
      <c r="C25">
        <v>51</v>
      </c>
      <c r="D25">
        <v>4</v>
      </c>
      <c r="E25" s="2">
        <v>45238</v>
      </c>
      <c r="F25" s="8">
        <v>0.5759143518518518</v>
      </c>
      <c r="G25" s="2">
        <v>45245</v>
      </c>
      <c r="H25" s="8">
        <v>0.17119212962962962</v>
      </c>
      <c r="I25" t="s">
        <v>324</v>
      </c>
      <c r="J25" t="s">
        <v>699</v>
      </c>
      <c r="K25" t="s">
        <v>822</v>
      </c>
      <c r="L25">
        <v>13</v>
      </c>
      <c r="M25">
        <v>7</v>
      </c>
      <c r="N25">
        <v>4</v>
      </c>
      <c r="O25">
        <v>1084</v>
      </c>
      <c r="P25">
        <v>4336</v>
      </c>
      <c r="Q25" t="s">
        <v>1008</v>
      </c>
    </row>
    <row r="26" spans="1:17" x14ac:dyDescent="0.35">
      <c r="A26">
        <v>635</v>
      </c>
      <c r="B26" t="s">
        <v>570</v>
      </c>
      <c r="C26">
        <v>67</v>
      </c>
      <c r="D26">
        <v>1</v>
      </c>
      <c r="E26" s="2">
        <v>45242</v>
      </c>
      <c r="F26" s="8">
        <v>0.77582175925925922</v>
      </c>
      <c r="G26" s="2">
        <v>45252</v>
      </c>
      <c r="H26" s="8">
        <v>0.30800925925925926</v>
      </c>
      <c r="I26" t="s">
        <v>826</v>
      </c>
      <c r="J26" t="s">
        <v>698</v>
      </c>
      <c r="K26" t="s">
        <v>822</v>
      </c>
      <c r="L26">
        <v>18</v>
      </c>
      <c r="M26">
        <v>10</v>
      </c>
      <c r="N26">
        <v>7</v>
      </c>
      <c r="O26">
        <v>1374</v>
      </c>
      <c r="P26">
        <v>1374</v>
      </c>
      <c r="Q26" t="s">
        <v>1010</v>
      </c>
    </row>
    <row r="27" spans="1:17" x14ac:dyDescent="0.35">
      <c r="A27">
        <v>653</v>
      </c>
      <c r="B27" t="s">
        <v>459</v>
      </c>
      <c r="C27">
        <v>17</v>
      </c>
      <c r="D27">
        <v>4</v>
      </c>
      <c r="E27" s="2">
        <v>45259</v>
      </c>
      <c r="F27" s="8">
        <v>0.56813657407407403</v>
      </c>
      <c r="G27" s="2">
        <v>45261</v>
      </c>
      <c r="H27" s="8">
        <v>0.24457175925925925</v>
      </c>
      <c r="I27" t="s">
        <v>725</v>
      </c>
      <c r="J27" t="s">
        <v>698</v>
      </c>
      <c r="K27" t="s">
        <v>822</v>
      </c>
      <c r="L27">
        <v>13</v>
      </c>
      <c r="M27">
        <v>2</v>
      </c>
      <c r="N27">
        <v>5</v>
      </c>
      <c r="O27">
        <v>1899</v>
      </c>
      <c r="P27">
        <v>7596</v>
      </c>
      <c r="Q27" t="s">
        <v>1008</v>
      </c>
    </row>
    <row r="28" spans="1:17" x14ac:dyDescent="0.35">
      <c r="A28">
        <v>655</v>
      </c>
      <c r="B28" t="s">
        <v>102</v>
      </c>
      <c r="C28">
        <v>17</v>
      </c>
      <c r="D28">
        <v>1</v>
      </c>
      <c r="E28" s="2">
        <v>45238</v>
      </c>
      <c r="F28" s="8">
        <v>0.88824074074074078</v>
      </c>
      <c r="G28" s="2">
        <v>45247</v>
      </c>
      <c r="H28" s="8">
        <v>0.79001157407407407</v>
      </c>
      <c r="I28" t="s">
        <v>824</v>
      </c>
      <c r="J28" t="s">
        <v>698</v>
      </c>
      <c r="K28" t="s">
        <v>822</v>
      </c>
      <c r="L28">
        <v>21</v>
      </c>
      <c r="M28">
        <v>9</v>
      </c>
      <c r="N28">
        <v>18</v>
      </c>
      <c r="O28">
        <v>1899</v>
      </c>
      <c r="P28">
        <v>1899</v>
      </c>
      <c r="Q28" t="s">
        <v>1008</v>
      </c>
    </row>
    <row r="29" spans="1:17" x14ac:dyDescent="0.35">
      <c r="A29">
        <v>727</v>
      </c>
      <c r="B29" t="s">
        <v>372</v>
      </c>
      <c r="C29">
        <v>12</v>
      </c>
      <c r="D29">
        <v>5</v>
      </c>
      <c r="E29" s="2">
        <v>45248</v>
      </c>
      <c r="F29" s="8">
        <v>6.7395833333333335E-2</v>
      </c>
      <c r="G29" s="2">
        <v>45252</v>
      </c>
      <c r="H29" s="8">
        <v>0.68231481481481482</v>
      </c>
      <c r="I29" t="s">
        <v>409</v>
      </c>
      <c r="J29" t="s">
        <v>698</v>
      </c>
      <c r="K29" t="s">
        <v>822</v>
      </c>
      <c r="L29">
        <v>1</v>
      </c>
      <c r="M29">
        <v>4</v>
      </c>
      <c r="N29">
        <v>16</v>
      </c>
      <c r="O29">
        <v>672</v>
      </c>
      <c r="P29">
        <v>3360</v>
      </c>
      <c r="Q29" t="s">
        <v>1007</v>
      </c>
    </row>
    <row r="30" spans="1:17" x14ac:dyDescent="0.35">
      <c r="A30">
        <v>740</v>
      </c>
      <c r="B30" t="s">
        <v>37</v>
      </c>
      <c r="C30">
        <v>56</v>
      </c>
      <c r="D30">
        <v>4</v>
      </c>
      <c r="E30" s="2">
        <v>45237</v>
      </c>
      <c r="F30" s="8">
        <v>0.67497685185185186</v>
      </c>
      <c r="G30" s="2">
        <v>45242</v>
      </c>
      <c r="H30" s="8">
        <v>0.42211805555555554</v>
      </c>
      <c r="I30" t="s">
        <v>674</v>
      </c>
      <c r="J30" t="s">
        <v>698</v>
      </c>
      <c r="K30" t="s">
        <v>822</v>
      </c>
      <c r="L30">
        <v>16</v>
      </c>
      <c r="M30">
        <v>5</v>
      </c>
      <c r="N30">
        <v>10</v>
      </c>
      <c r="O30">
        <v>1272</v>
      </c>
      <c r="P30">
        <v>5088</v>
      </c>
      <c r="Q30" t="s">
        <v>1012</v>
      </c>
    </row>
    <row r="31" spans="1:17" x14ac:dyDescent="0.35">
      <c r="A31">
        <v>754</v>
      </c>
      <c r="B31" t="s">
        <v>500</v>
      </c>
      <c r="C31">
        <v>51</v>
      </c>
      <c r="D31">
        <v>2</v>
      </c>
      <c r="E31" s="2">
        <v>45231</v>
      </c>
      <c r="F31" s="8">
        <v>0.86149305555555555</v>
      </c>
      <c r="G31" s="2">
        <v>45238</v>
      </c>
      <c r="H31" s="8">
        <v>0.92584490740740744</v>
      </c>
      <c r="I31" t="s">
        <v>782</v>
      </c>
      <c r="J31" t="s">
        <v>699</v>
      </c>
      <c r="K31" t="s">
        <v>822</v>
      </c>
      <c r="L31">
        <v>20</v>
      </c>
      <c r="M31">
        <v>7</v>
      </c>
      <c r="N31">
        <v>22</v>
      </c>
      <c r="O31">
        <v>1084</v>
      </c>
      <c r="P31">
        <v>2168</v>
      </c>
      <c r="Q31" t="s">
        <v>1008</v>
      </c>
    </row>
    <row r="32" spans="1:17" x14ac:dyDescent="0.35">
      <c r="A32">
        <v>768</v>
      </c>
      <c r="B32" t="s">
        <v>524</v>
      </c>
      <c r="C32">
        <v>1</v>
      </c>
      <c r="D32">
        <v>1</v>
      </c>
      <c r="E32" s="2">
        <v>45241</v>
      </c>
      <c r="F32" s="8">
        <v>0.7761689814814815</v>
      </c>
      <c r="G32" s="2">
        <v>45246</v>
      </c>
      <c r="H32" s="8">
        <v>0.51368055555555558</v>
      </c>
      <c r="I32" t="s">
        <v>818</v>
      </c>
      <c r="J32" t="s">
        <v>699</v>
      </c>
      <c r="K32" t="s">
        <v>822</v>
      </c>
      <c r="L32">
        <v>18</v>
      </c>
      <c r="M32">
        <v>5</v>
      </c>
      <c r="N32">
        <v>12</v>
      </c>
      <c r="O32">
        <v>1935</v>
      </c>
      <c r="P32">
        <v>1935</v>
      </c>
      <c r="Q32" t="s">
        <v>1007</v>
      </c>
    </row>
    <row r="33" spans="1:17" x14ac:dyDescent="0.35">
      <c r="A33">
        <v>807</v>
      </c>
      <c r="B33" t="s">
        <v>49</v>
      </c>
      <c r="C33">
        <v>40</v>
      </c>
      <c r="D33">
        <v>4</v>
      </c>
      <c r="E33" s="2">
        <v>45259</v>
      </c>
      <c r="F33" s="8">
        <v>0.68077546296296299</v>
      </c>
      <c r="G33" s="2">
        <v>45269</v>
      </c>
      <c r="H33" s="8">
        <v>0.13190972222222222</v>
      </c>
      <c r="I33" t="s">
        <v>484</v>
      </c>
      <c r="J33" t="s">
        <v>698</v>
      </c>
      <c r="K33" t="s">
        <v>822</v>
      </c>
      <c r="L33">
        <v>16</v>
      </c>
      <c r="M33">
        <v>10</v>
      </c>
      <c r="N33">
        <v>3</v>
      </c>
      <c r="O33">
        <v>1923</v>
      </c>
      <c r="P33">
        <v>7692</v>
      </c>
      <c r="Q33" t="s">
        <v>1008</v>
      </c>
    </row>
    <row r="34" spans="1:17" x14ac:dyDescent="0.35">
      <c r="A34">
        <v>839</v>
      </c>
      <c r="B34" t="s">
        <v>435</v>
      </c>
      <c r="C34">
        <v>51</v>
      </c>
      <c r="D34">
        <v>4</v>
      </c>
      <c r="E34" s="2">
        <v>45232</v>
      </c>
      <c r="F34" s="8">
        <v>0.16068287037037038</v>
      </c>
      <c r="G34" s="2">
        <v>45242</v>
      </c>
      <c r="H34" s="8">
        <v>7.6284722222222226E-2</v>
      </c>
      <c r="I34" t="s">
        <v>827</v>
      </c>
      <c r="J34" t="s">
        <v>699</v>
      </c>
      <c r="K34" t="s">
        <v>822</v>
      </c>
      <c r="L34">
        <v>3</v>
      </c>
      <c r="M34">
        <v>10</v>
      </c>
      <c r="N34">
        <v>1</v>
      </c>
      <c r="O34">
        <v>1084</v>
      </c>
      <c r="P34">
        <v>4336</v>
      </c>
      <c r="Q34" t="s">
        <v>1013</v>
      </c>
    </row>
    <row r="35" spans="1:17" x14ac:dyDescent="0.35">
      <c r="A35">
        <v>846</v>
      </c>
      <c r="B35" t="s">
        <v>418</v>
      </c>
      <c r="C35">
        <v>15</v>
      </c>
      <c r="D35">
        <v>4</v>
      </c>
      <c r="E35" s="2">
        <v>45258</v>
      </c>
      <c r="F35" s="8">
        <v>0.11642361111111112</v>
      </c>
      <c r="G35" s="2">
        <v>45262</v>
      </c>
      <c r="H35" s="8">
        <v>0.28892361111111109</v>
      </c>
      <c r="I35" t="s">
        <v>635</v>
      </c>
      <c r="J35" t="s">
        <v>698</v>
      </c>
      <c r="K35" t="s">
        <v>822</v>
      </c>
      <c r="L35">
        <v>2</v>
      </c>
      <c r="M35">
        <v>4</v>
      </c>
      <c r="N35">
        <v>6</v>
      </c>
      <c r="O35">
        <v>1488</v>
      </c>
      <c r="P35">
        <v>5952</v>
      </c>
      <c r="Q35" t="s">
        <v>1012</v>
      </c>
    </row>
    <row r="36" spans="1:17" x14ac:dyDescent="0.35">
      <c r="A36">
        <v>909</v>
      </c>
      <c r="B36" t="s">
        <v>506</v>
      </c>
      <c r="C36">
        <v>42</v>
      </c>
      <c r="D36">
        <v>1</v>
      </c>
      <c r="E36" s="2">
        <v>45234</v>
      </c>
      <c r="F36" s="8">
        <v>0.32211805555555556</v>
      </c>
      <c r="G36" s="2">
        <v>45238</v>
      </c>
      <c r="H36" s="8">
        <v>0.93431712962962965</v>
      </c>
      <c r="I36" t="s">
        <v>437</v>
      </c>
      <c r="J36" t="s">
        <v>699</v>
      </c>
      <c r="K36" t="s">
        <v>822</v>
      </c>
      <c r="L36">
        <v>7</v>
      </c>
      <c r="M36">
        <v>4</v>
      </c>
      <c r="N36">
        <v>22</v>
      </c>
      <c r="O36">
        <v>1744</v>
      </c>
      <c r="P36">
        <v>1744</v>
      </c>
      <c r="Q36" t="s">
        <v>1007</v>
      </c>
    </row>
    <row r="37" spans="1:17" x14ac:dyDescent="0.35">
      <c r="A37">
        <v>928</v>
      </c>
      <c r="B37" t="s">
        <v>85</v>
      </c>
      <c r="C37">
        <v>23</v>
      </c>
      <c r="D37">
        <v>3</v>
      </c>
      <c r="E37" s="2">
        <v>45249</v>
      </c>
      <c r="F37" s="8">
        <v>0.46277777777777779</v>
      </c>
      <c r="G37" s="2">
        <v>45257</v>
      </c>
      <c r="H37" s="8">
        <v>0.42791666666666667</v>
      </c>
      <c r="I37" t="s">
        <v>792</v>
      </c>
      <c r="J37" t="s">
        <v>698</v>
      </c>
      <c r="K37" t="s">
        <v>822</v>
      </c>
      <c r="L37">
        <v>11</v>
      </c>
      <c r="M37">
        <v>8</v>
      </c>
      <c r="N37">
        <v>10</v>
      </c>
      <c r="O37">
        <v>1098</v>
      </c>
      <c r="P37">
        <v>3294</v>
      </c>
      <c r="Q37" t="s">
        <v>1010</v>
      </c>
    </row>
    <row r="38" spans="1:17" x14ac:dyDescent="0.35">
      <c r="A38">
        <v>933</v>
      </c>
      <c r="B38" t="s">
        <v>240</v>
      </c>
      <c r="C38">
        <v>51</v>
      </c>
      <c r="D38">
        <v>3</v>
      </c>
      <c r="E38" s="2">
        <v>45244</v>
      </c>
      <c r="F38" s="8">
        <v>0.51181712962962966</v>
      </c>
      <c r="G38" s="2">
        <v>45253</v>
      </c>
      <c r="H38" s="8">
        <v>0.1180787037037037</v>
      </c>
      <c r="I38" t="s">
        <v>648</v>
      </c>
      <c r="J38" t="s">
        <v>699</v>
      </c>
      <c r="K38" t="s">
        <v>822</v>
      </c>
      <c r="L38">
        <v>12</v>
      </c>
      <c r="M38">
        <v>9</v>
      </c>
      <c r="N38">
        <v>2</v>
      </c>
      <c r="O38">
        <v>1084</v>
      </c>
      <c r="P38">
        <v>3252</v>
      </c>
      <c r="Q38" t="s">
        <v>1012</v>
      </c>
    </row>
    <row r="39" spans="1:17" x14ac:dyDescent="0.35">
      <c r="A39">
        <v>944</v>
      </c>
      <c r="B39" t="s">
        <v>156</v>
      </c>
      <c r="C39">
        <v>67</v>
      </c>
      <c r="D39">
        <v>4</v>
      </c>
      <c r="E39" s="2">
        <v>45247</v>
      </c>
      <c r="F39" s="8">
        <v>0.8573263888888889</v>
      </c>
      <c r="G39" s="2">
        <v>45251</v>
      </c>
      <c r="H39" s="8">
        <v>0.69490740740740742</v>
      </c>
      <c r="I39" t="s">
        <v>675</v>
      </c>
      <c r="J39" t="s">
        <v>698</v>
      </c>
      <c r="K39" t="s">
        <v>822</v>
      </c>
      <c r="L39">
        <v>20</v>
      </c>
      <c r="M39">
        <v>4</v>
      </c>
      <c r="N39">
        <v>16</v>
      </c>
      <c r="O39">
        <v>1374</v>
      </c>
      <c r="P39">
        <v>5496</v>
      </c>
      <c r="Q39" t="s">
        <v>1009</v>
      </c>
    </row>
    <row r="40" spans="1:17" x14ac:dyDescent="0.35">
      <c r="A40">
        <v>951</v>
      </c>
      <c r="B40" t="s">
        <v>156</v>
      </c>
      <c r="C40">
        <v>20</v>
      </c>
      <c r="D40">
        <v>1</v>
      </c>
      <c r="E40" s="2">
        <v>45253</v>
      </c>
      <c r="F40" s="8">
        <v>0.64871527777777782</v>
      </c>
      <c r="G40" s="2">
        <v>45255</v>
      </c>
      <c r="H40" s="8">
        <v>0.7941435185185185</v>
      </c>
      <c r="I40" t="s">
        <v>828</v>
      </c>
      <c r="J40" t="s">
        <v>698</v>
      </c>
      <c r="K40" t="s">
        <v>822</v>
      </c>
      <c r="L40">
        <v>15</v>
      </c>
      <c r="M40">
        <v>2</v>
      </c>
      <c r="N40">
        <v>19</v>
      </c>
      <c r="O40">
        <v>697</v>
      </c>
      <c r="P40">
        <v>697</v>
      </c>
      <c r="Q40" t="s">
        <v>1013</v>
      </c>
    </row>
    <row r="41" spans="1:17" x14ac:dyDescent="0.35">
      <c r="A41">
        <v>974</v>
      </c>
      <c r="B41" t="s">
        <v>96</v>
      </c>
      <c r="C41">
        <v>17</v>
      </c>
      <c r="D41">
        <v>4</v>
      </c>
      <c r="E41" s="2">
        <v>45234</v>
      </c>
      <c r="F41" s="8">
        <v>0.8034606481481481</v>
      </c>
      <c r="G41" s="2">
        <v>45237</v>
      </c>
      <c r="H41" s="8">
        <v>0.67461805555555554</v>
      </c>
      <c r="I41" t="s">
        <v>254</v>
      </c>
      <c r="J41" t="s">
        <v>698</v>
      </c>
      <c r="K41" t="s">
        <v>822</v>
      </c>
      <c r="L41">
        <v>19</v>
      </c>
      <c r="M41">
        <v>3</v>
      </c>
      <c r="N41">
        <v>16</v>
      </c>
      <c r="O41">
        <v>1899</v>
      </c>
      <c r="P41">
        <v>7596</v>
      </c>
      <c r="Q41" t="s">
        <v>1007</v>
      </c>
    </row>
    <row r="42" spans="1:17" x14ac:dyDescent="0.35">
      <c r="A42">
        <v>986</v>
      </c>
      <c r="B42" t="s">
        <v>518</v>
      </c>
      <c r="C42">
        <v>1</v>
      </c>
      <c r="D42">
        <v>2</v>
      </c>
      <c r="E42" s="2">
        <v>45233</v>
      </c>
      <c r="F42" s="8">
        <v>0.69576388888888885</v>
      </c>
      <c r="G42" s="2">
        <v>45235</v>
      </c>
      <c r="H42" s="8">
        <v>0.94685185185185183</v>
      </c>
      <c r="I42" t="s">
        <v>681</v>
      </c>
      <c r="J42" t="s">
        <v>699</v>
      </c>
      <c r="K42" t="s">
        <v>822</v>
      </c>
      <c r="L42">
        <v>16</v>
      </c>
      <c r="M42">
        <v>2</v>
      </c>
      <c r="N42">
        <v>22</v>
      </c>
      <c r="O42">
        <v>1935</v>
      </c>
      <c r="P42">
        <v>3870</v>
      </c>
      <c r="Q42" t="s">
        <v>1009</v>
      </c>
    </row>
    <row r="43" spans="1:17" x14ac:dyDescent="0.35">
      <c r="A43">
        <v>2</v>
      </c>
      <c r="B43" t="s">
        <v>126</v>
      </c>
      <c r="C43">
        <v>41</v>
      </c>
      <c r="D43">
        <v>2</v>
      </c>
      <c r="E43" s="2">
        <v>45237</v>
      </c>
      <c r="F43" s="8">
        <v>0.979375</v>
      </c>
      <c r="G43" s="2">
        <v>45243</v>
      </c>
      <c r="H43" s="8">
        <v>0.30297453703703703</v>
      </c>
      <c r="I43" t="s">
        <v>702</v>
      </c>
      <c r="J43" t="s">
        <v>829</v>
      </c>
      <c r="K43" t="s">
        <v>822</v>
      </c>
      <c r="L43">
        <v>23</v>
      </c>
      <c r="M43">
        <v>6</v>
      </c>
      <c r="N43">
        <v>7</v>
      </c>
      <c r="O43">
        <v>1977</v>
      </c>
      <c r="P43">
        <v>3954</v>
      </c>
      <c r="Q43" t="s">
        <v>1012</v>
      </c>
    </row>
    <row r="44" spans="1:17" x14ac:dyDescent="0.35">
      <c r="A44">
        <v>50</v>
      </c>
      <c r="B44" t="s">
        <v>96</v>
      </c>
      <c r="C44">
        <v>41</v>
      </c>
      <c r="D44">
        <v>4</v>
      </c>
      <c r="E44" s="2">
        <v>45239</v>
      </c>
      <c r="F44" s="8">
        <v>0.28927083333333331</v>
      </c>
      <c r="G44" s="2">
        <v>45246</v>
      </c>
      <c r="H44" s="8">
        <v>0.43011574074074072</v>
      </c>
      <c r="I44" t="s">
        <v>723</v>
      </c>
      <c r="J44" t="s">
        <v>829</v>
      </c>
      <c r="K44" t="s">
        <v>822</v>
      </c>
      <c r="L44">
        <v>6</v>
      </c>
      <c r="M44">
        <v>7</v>
      </c>
      <c r="N44">
        <v>10</v>
      </c>
      <c r="O44">
        <v>1977</v>
      </c>
      <c r="P44">
        <v>7908</v>
      </c>
      <c r="Q44" t="s">
        <v>1013</v>
      </c>
    </row>
    <row r="45" spans="1:17" x14ac:dyDescent="0.35">
      <c r="A45">
        <v>8</v>
      </c>
      <c r="B45" t="s">
        <v>582</v>
      </c>
      <c r="C45">
        <v>43</v>
      </c>
      <c r="D45">
        <v>3</v>
      </c>
      <c r="E45" s="2">
        <v>45238</v>
      </c>
      <c r="F45" s="8">
        <v>0.80557870370370366</v>
      </c>
      <c r="G45" s="2">
        <v>45244</v>
      </c>
      <c r="H45" s="8">
        <v>0.36440972222222223</v>
      </c>
      <c r="I45" t="s">
        <v>679</v>
      </c>
      <c r="J45" t="s">
        <v>829</v>
      </c>
      <c r="K45" t="s">
        <v>822</v>
      </c>
      <c r="L45">
        <v>19</v>
      </c>
      <c r="M45">
        <v>6</v>
      </c>
      <c r="N45">
        <v>8</v>
      </c>
      <c r="O45">
        <v>750</v>
      </c>
      <c r="P45">
        <v>2250</v>
      </c>
      <c r="Q45" t="s">
        <v>1008</v>
      </c>
    </row>
    <row r="46" spans="1:17" x14ac:dyDescent="0.35">
      <c r="A46">
        <v>22</v>
      </c>
      <c r="B46" t="s">
        <v>334</v>
      </c>
      <c r="C46">
        <v>43</v>
      </c>
      <c r="D46">
        <v>1</v>
      </c>
      <c r="E46" s="2">
        <v>45239</v>
      </c>
      <c r="F46" s="8">
        <v>4.5462962962962962E-2</v>
      </c>
      <c r="G46" s="2">
        <v>45244</v>
      </c>
      <c r="H46" s="8">
        <v>0.40957175925925926</v>
      </c>
      <c r="I46" t="s">
        <v>110</v>
      </c>
      <c r="J46" t="s">
        <v>829</v>
      </c>
      <c r="K46" t="s">
        <v>822</v>
      </c>
      <c r="L46">
        <v>1</v>
      </c>
      <c r="M46">
        <v>5</v>
      </c>
      <c r="N46">
        <v>9</v>
      </c>
      <c r="O46">
        <v>750</v>
      </c>
      <c r="P46">
        <v>750</v>
      </c>
      <c r="Q46" t="s">
        <v>1013</v>
      </c>
    </row>
    <row r="47" spans="1:17" x14ac:dyDescent="0.35">
      <c r="A47">
        <v>39</v>
      </c>
      <c r="B47" t="s">
        <v>334</v>
      </c>
      <c r="C47">
        <v>43</v>
      </c>
      <c r="D47">
        <v>2</v>
      </c>
      <c r="E47" s="2">
        <v>45232</v>
      </c>
      <c r="F47" s="8">
        <v>0.80969907407407404</v>
      </c>
      <c r="G47" s="2">
        <v>45234</v>
      </c>
      <c r="H47" s="8">
        <v>0.56159722222222219</v>
      </c>
      <c r="I47" t="s">
        <v>224</v>
      </c>
      <c r="J47" t="s">
        <v>829</v>
      </c>
      <c r="K47" t="s">
        <v>822</v>
      </c>
      <c r="L47">
        <v>19</v>
      </c>
      <c r="M47">
        <v>2</v>
      </c>
      <c r="N47">
        <v>13</v>
      </c>
      <c r="O47">
        <v>750</v>
      </c>
      <c r="P47">
        <v>1500</v>
      </c>
      <c r="Q47" t="s">
        <v>1013</v>
      </c>
    </row>
    <row r="48" spans="1:17" x14ac:dyDescent="0.35">
      <c r="A48">
        <v>49</v>
      </c>
      <c r="B48" t="s">
        <v>132</v>
      </c>
      <c r="C48">
        <v>43</v>
      </c>
      <c r="D48">
        <v>1</v>
      </c>
      <c r="E48" s="2">
        <v>45241</v>
      </c>
      <c r="F48" s="8">
        <v>0.73923611111111109</v>
      </c>
      <c r="G48" s="2">
        <v>45248</v>
      </c>
      <c r="H48" s="8">
        <v>0.57629629629629631</v>
      </c>
      <c r="I48" t="s">
        <v>659</v>
      </c>
      <c r="J48" t="s">
        <v>829</v>
      </c>
      <c r="K48" t="s">
        <v>822</v>
      </c>
      <c r="L48">
        <v>17</v>
      </c>
      <c r="M48">
        <v>7</v>
      </c>
      <c r="N48">
        <v>13</v>
      </c>
      <c r="O48">
        <v>750</v>
      </c>
      <c r="P48">
        <v>750</v>
      </c>
      <c r="Q48" t="s">
        <v>1007</v>
      </c>
    </row>
    <row r="49" spans="1:17" x14ac:dyDescent="0.35">
      <c r="A49">
        <v>14</v>
      </c>
      <c r="B49" t="s">
        <v>264</v>
      </c>
      <c r="C49">
        <v>60</v>
      </c>
      <c r="D49">
        <v>1</v>
      </c>
      <c r="E49" s="2">
        <v>45238</v>
      </c>
      <c r="F49" s="8">
        <v>0.1570138888888889</v>
      </c>
      <c r="G49" s="2">
        <v>45245</v>
      </c>
      <c r="H49" s="8">
        <v>0.50557870370370372</v>
      </c>
      <c r="I49" t="s">
        <v>32</v>
      </c>
      <c r="J49" t="s">
        <v>829</v>
      </c>
      <c r="K49" t="s">
        <v>822</v>
      </c>
      <c r="L49">
        <v>3</v>
      </c>
      <c r="M49">
        <v>7</v>
      </c>
      <c r="N49">
        <v>12</v>
      </c>
      <c r="O49">
        <v>827</v>
      </c>
      <c r="P49">
        <v>827</v>
      </c>
      <c r="Q49" t="s">
        <v>1008</v>
      </c>
    </row>
    <row r="50" spans="1:17" x14ac:dyDescent="0.35">
      <c r="A50">
        <v>17</v>
      </c>
      <c r="B50" t="s">
        <v>344</v>
      </c>
      <c r="C50">
        <v>60</v>
      </c>
      <c r="D50">
        <v>2</v>
      </c>
      <c r="E50" s="2">
        <v>45234</v>
      </c>
      <c r="F50" s="8">
        <v>0.48024305555555558</v>
      </c>
      <c r="G50" s="2">
        <v>45243</v>
      </c>
      <c r="H50" s="8">
        <v>0.77792824074074074</v>
      </c>
      <c r="I50" t="s">
        <v>318</v>
      </c>
      <c r="J50" t="s">
        <v>829</v>
      </c>
      <c r="K50" t="s">
        <v>822</v>
      </c>
      <c r="L50">
        <v>11</v>
      </c>
      <c r="M50">
        <v>9</v>
      </c>
      <c r="N50">
        <v>18</v>
      </c>
      <c r="O50">
        <v>827</v>
      </c>
      <c r="P50">
        <v>1654</v>
      </c>
      <c r="Q50" t="s">
        <v>1007</v>
      </c>
    </row>
    <row r="51" spans="1:17" x14ac:dyDescent="0.35">
      <c r="A51">
        <v>38</v>
      </c>
      <c r="B51" t="s">
        <v>407</v>
      </c>
      <c r="C51">
        <v>37</v>
      </c>
      <c r="D51">
        <v>3</v>
      </c>
      <c r="E51" s="2">
        <v>45241</v>
      </c>
      <c r="F51" s="8">
        <v>0.52115740740740746</v>
      </c>
      <c r="G51" s="2">
        <v>45244</v>
      </c>
      <c r="H51" s="8">
        <v>0.51725694444444448</v>
      </c>
      <c r="I51" t="s">
        <v>212</v>
      </c>
      <c r="J51" t="s">
        <v>829</v>
      </c>
      <c r="K51" t="s">
        <v>822</v>
      </c>
      <c r="L51">
        <v>12</v>
      </c>
      <c r="M51">
        <v>3</v>
      </c>
      <c r="N51">
        <v>12</v>
      </c>
      <c r="O51">
        <v>1428</v>
      </c>
      <c r="P51">
        <v>4284</v>
      </c>
      <c r="Q51" t="s">
        <v>1007</v>
      </c>
    </row>
    <row r="52" spans="1:17" x14ac:dyDescent="0.35">
      <c r="A52">
        <v>40</v>
      </c>
      <c r="B52" t="s">
        <v>401</v>
      </c>
      <c r="C52">
        <v>48</v>
      </c>
      <c r="D52">
        <v>4</v>
      </c>
      <c r="E52" s="2">
        <v>45232</v>
      </c>
      <c r="F52" s="8">
        <v>0.59386574074074072</v>
      </c>
      <c r="G52" s="2">
        <v>45235</v>
      </c>
      <c r="H52" s="8">
        <v>0.18743055555555554</v>
      </c>
      <c r="I52" t="s">
        <v>830</v>
      </c>
      <c r="J52" t="s">
        <v>829</v>
      </c>
      <c r="K52" t="s">
        <v>822</v>
      </c>
      <c r="L52">
        <v>14</v>
      </c>
      <c r="M52">
        <v>3</v>
      </c>
      <c r="N52">
        <v>4</v>
      </c>
      <c r="O52">
        <v>433</v>
      </c>
      <c r="P52">
        <v>1732</v>
      </c>
      <c r="Q52" t="s">
        <v>1013</v>
      </c>
    </row>
    <row r="53" spans="1:17" x14ac:dyDescent="0.35">
      <c r="A53">
        <v>61</v>
      </c>
      <c r="B53" t="s">
        <v>355</v>
      </c>
      <c r="C53">
        <v>44</v>
      </c>
      <c r="D53">
        <v>2</v>
      </c>
      <c r="E53" s="2">
        <v>45238</v>
      </c>
      <c r="F53" s="8">
        <v>0.93501157407407409</v>
      </c>
      <c r="G53" s="2">
        <v>45240</v>
      </c>
      <c r="H53" s="8">
        <v>0.33924768518518517</v>
      </c>
      <c r="I53" t="s">
        <v>672</v>
      </c>
      <c r="J53" t="s">
        <v>829</v>
      </c>
      <c r="K53" t="s">
        <v>822</v>
      </c>
      <c r="L53">
        <v>22</v>
      </c>
      <c r="M53">
        <v>2</v>
      </c>
      <c r="N53">
        <v>8</v>
      </c>
      <c r="O53">
        <v>794</v>
      </c>
      <c r="P53">
        <v>1588</v>
      </c>
      <c r="Q53" t="s">
        <v>1008</v>
      </c>
    </row>
    <row r="54" spans="1:17" x14ac:dyDescent="0.35">
      <c r="A54">
        <v>76</v>
      </c>
      <c r="B54" t="s">
        <v>334</v>
      </c>
      <c r="C54">
        <v>4</v>
      </c>
      <c r="D54">
        <v>1</v>
      </c>
      <c r="E54" s="2">
        <v>45239</v>
      </c>
      <c r="F54" s="8">
        <v>0.21748842592592593</v>
      </c>
      <c r="G54" s="2">
        <v>45242</v>
      </c>
      <c r="H54" s="8">
        <v>2.4189814814814813E-2</v>
      </c>
      <c r="I54" t="s">
        <v>409</v>
      </c>
      <c r="J54" t="s">
        <v>829</v>
      </c>
      <c r="K54" t="s">
        <v>822</v>
      </c>
      <c r="L54">
        <v>5</v>
      </c>
      <c r="M54">
        <v>3</v>
      </c>
      <c r="N54">
        <v>0</v>
      </c>
      <c r="O54">
        <v>1199</v>
      </c>
      <c r="P54">
        <v>1199</v>
      </c>
      <c r="Q54" t="s">
        <v>1013</v>
      </c>
    </row>
    <row r="55" spans="1:17" x14ac:dyDescent="0.35">
      <c r="A55">
        <v>90</v>
      </c>
      <c r="B55" t="s">
        <v>529</v>
      </c>
      <c r="C55">
        <v>41</v>
      </c>
      <c r="D55">
        <v>3</v>
      </c>
      <c r="E55" s="2">
        <v>45239</v>
      </c>
      <c r="F55" s="8">
        <v>0.87101851851851853</v>
      </c>
      <c r="G55" s="2">
        <v>45248</v>
      </c>
      <c r="H55" s="8">
        <v>0.74207175925925928</v>
      </c>
      <c r="I55" t="s">
        <v>790</v>
      </c>
      <c r="J55" t="s">
        <v>829</v>
      </c>
      <c r="K55" t="s">
        <v>822</v>
      </c>
      <c r="L55">
        <v>20</v>
      </c>
      <c r="M55">
        <v>9</v>
      </c>
      <c r="N55">
        <v>17</v>
      </c>
      <c r="O55">
        <v>1977</v>
      </c>
      <c r="P55">
        <v>5931</v>
      </c>
      <c r="Q55" t="s">
        <v>1013</v>
      </c>
    </row>
    <row r="56" spans="1:17" x14ac:dyDescent="0.35">
      <c r="A56">
        <v>97</v>
      </c>
      <c r="B56" t="s">
        <v>258</v>
      </c>
      <c r="C56">
        <v>41</v>
      </c>
      <c r="D56">
        <v>1</v>
      </c>
      <c r="E56" s="2">
        <v>45233</v>
      </c>
      <c r="F56" s="8">
        <v>0.84134259259259259</v>
      </c>
      <c r="G56" s="2">
        <v>45238</v>
      </c>
      <c r="H56" s="8">
        <v>6.626157407407407E-2</v>
      </c>
      <c r="I56" t="s">
        <v>713</v>
      </c>
      <c r="J56" t="s">
        <v>829</v>
      </c>
      <c r="K56" t="s">
        <v>822</v>
      </c>
      <c r="L56">
        <v>20</v>
      </c>
      <c r="M56">
        <v>5</v>
      </c>
      <c r="N56">
        <v>1</v>
      </c>
      <c r="O56">
        <v>1977</v>
      </c>
      <c r="P56">
        <v>1977</v>
      </c>
      <c r="Q56" t="s">
        <v>1009</v>
      </c>
    </row>
    <row r="57" spans="1:17" x14ac:dyDescent="0.35">
      <c r="A57">
        <v>106</v>
      </c>
      <c r="B57" t="s">
        <v>570</v>
      </c>
      <c r="C57">
        <v>41</v>
      </c>
      <c r="D57">
        <v>2</v>
      </c>
      <c r="E57" s="2">
        <v>45236</v>
      </c>
      <c r="F57" s="8">
        <v>0.74706018518518513</v>
      </c>
      <c r="G57" s="2">
        <v>45238</v>
      </c>
      <c r="H57" s="8">
        <v>0.95865740740740746</v>
      </c>
      <c r="I57" t="s">
        <v>63</v>
      </c>
      <c r="J57" t="s">
        <v>829</v>
      </c>
      <c r="K57" t="s">
        <v>822</v>
      </c>
      <c r="L57">
        <v>17</v>
      </c>
      <c r="M57">
        <v>2</v>
      </c>
      <c r="N57">
        <v>23</v>
      </c>
      <c r="O57">
        <v>1977</v>
      </c>
      <c r="P57">
        <v>3954</v>
      </c>
      <c r="Q57" t="s">
        <v>1011</v>
      </c>
    </row>
    <row r="58" spans="1:17" x14ac:dyDescent="0.35">
      <c r="A58">
        <v>107</v>
      </c>
      <c r="B58" t="s">
        <v>258</v>
      </c>
      <c r="C58">
        <v>4</v>
      </c>
      <c r="D58">
        <v>3</v>
      </c>
      <c r="E58" s="2">
        <v>45236</v>
      </c>
      <c r="F58" s="8">
        <v>0.42924768518518519</v>
      </c>
      <c r="G58" s="2">
        <v>45242</v>
      </c>
      <c r="H58" s="8">
        <v>0.5974652777777778</v>
      </c>
      <c r="I58" t="s">
        <v>730</v>
      </c>
      <c r="J58" t="s">
        <v>829</v>
      </c>
      <c r="K58" t="s">
        <v>822</v>
      </c>
      <c r="L58">
        <v>10</v>
      </c>
      <c r="M58">
        <v>6</v>
      </c>
      <c r="N58">
        <v>14</v>
      </c>
      <c r="O58">
        <v>1199</v>
      </c>
      <c r="P58">
        <v>3597</v>
      </c>
      <c r="Q58" t="s">
        <v>1011</v>
      </c>
    </row>
    <row r="59" spans="1:17" x14ac:dyDescent="0.35">
      <c r="A59">
        <v>112</v>
      </c>
      <c r="B59" t="s">
        <v>150</v>
      </c>
      <c r="C59">
        <v>37</v>
      </c>
      <c r="D59">
        <v>3</v>
      </c>
      <c r="E59" s="2">
        <v>45241</v>
      </c>
      <c r="F59" s="8">
        <v>0.27504629629629629</v>
      </c>
      <c r="G59" s="2">
        <v>45244</v>
      </c>
      <c r="H59" s="8">
        <v>0.66040509259259261</v>
      </c>
      <c r="I59" t="s">
        <v>748</v>
      </c>
      <c r="J59" t="s">
        <v>829</v>
      </c>
      <c r="K59" t="s">
        <v>822</v>
      </c>
      <c r="L59">
        <v>6</v>
      </c>
      <c r="M59">
        <v>3</v>
      </c>
      <c r="N59">
        <v>15</v>
      </c>
      <c r="O59">
        <v>1428</v>
      </c>
      <c r="P59">
        <v>4284</v>
      </c>
      <c r="Q59" t="s">
        <v>1007</v>
      </c>
    </row>
    <row r="60" spans="1:17" x14ac:dyDescent="0.35">
      <c r="A60">
        <v>116</v>
      </c>
      <c r="B60" t="s">
        <v>67</v>
      </c>
      <c r="C60">
        <v>4</v>
      </c>
      <c r="D60">
        <v>3</v>
      </c>
      <c r="E60" s="2">
        <v>45241</v>
      </c>
      <c r="F60" s="8">
        <v>0.60283564814814816</v>
      </c>
      <c r="G60" s="2">
        <v>45250</v>
      </c>
      <c r="H60" s="8">
        <v>0.22599537037037037</v>
      </c>
      <c r="I60" t="s">
        <v>818</v>
      </c>
      <c r="J60" t="s">
        <v>829</v>
      </c>
      <c r="K60" t="s">
        <v>822</v>
      </c>
      <c r="L60">
        <v>14</v>
      </c>
      <c r="M60">
        <v>9</v>
      </c>
      <c r="N60">
        <v>5</v>
      </c>
      <c r="O60">
        <v>1199</v>
      </c>
      <c r="P60">
        <v>3597</v>
      </c>
      <c r="Q60" t="s">
        <v>1007</v>
      </c>
    </row>
    <row r="61" spans="1:17" x14ac:dyDescent="0.35">
      <c r="A61">
        <v>127</v>
      </c>
      <c r="B61" t="s">
        <v>316</v>
      </c>
      <c r="C61">
        <v>60</v>
      </c>
      <c r="D61">
        <v>4</v>
      </c>
      <c r="E61" s="2">
        <v>45232</v>
      </c>
      <c r="F61" s="8">
        <v>0.58655092592592595</v>
      </c>
      <c r="G61" s="2">
        <v>45233</v>
      </c>
      <c r="H61" s="8">
        <v>0.80903935185185183</v>
      </c>
      <c r="I61" t="s">
        <v>324</v>
      </c>
      <c r="J61" t="s">
        <v>829</v>
      </c>
      <c r="K61" t="s">
        <v>822</v>
      </c>
      <c r="L61">
        <v>14</v>
      </c>
      <c r="M61">
        <v>1</v>
      </c>
      <c r="N61">
        <v>19</v>
      </c>
      <c r="O61">
        <v>827</v>
      </c>
      <c r="P61">
        <v>3308</v>
      </c>
      <c r="Q61" t="s">
        <v>1013</v>
      </c>
    </row>
    <row r="62" spans="1:17" x14ac:dyDescent="0.35">
      <c r="A62">
        <v>133</v>
      </c>
      <c r="B62" t="s">
        <v>120</v>
      </c>
      <c r="C62">
        <v>43</v>
      </c>
      <c r="D62">
        <v>5</v>
      </c>
      <c r="E62" s="2">
        <v>45240</v>
      </c>
      <c r="F62" s="8">
        <v>0.66104166666666664</v>
      </c>
      <c r="G62" s="2">
        <v>45246</v>
      </c>
      <c r="H62" s="8">
        <v>0.47420138888888891</v>
      </c>
      <c r="I62" t="s">
        <v>431</v>
      </c>
      <c r="J62" t="s">
        <v>829</v>
      </c>
      <c r="K62" t="s">
        <v>822</v>
      </c>
      <c r="L62">
        <v>15</v>
      </c>
      <c r="M62">
        <v>6</v>
      </c>
      <c r="N62">
        <v>11</v>
      </c>
      <c r="O62">
        <v>750</v>
      </c>
      <c r="P62">
        <v>3750</v>
      </c>
      <c r="Q62" t="s">
        <v>1009</v>
      </c>
    </row>
    <row r="63" spans="1:17" x14ac:dyDescent="0.35">
      <c r="A63">
        <v>151</v>
      </c>
      <c r="B63" t="s">
        <v>316</v>
      </c>
      <c r="C63">
        <v>43</v>
      </c>
      <c r="D63">
        <v>1</v>
      </c>
      <c r="E63" s="2">
        <v>45233</v>
      </c>
      <c r="F63" s="8">
        <v>0.90446759259259257</v>
      </c>
      <c r="G63" s="2">
        <v>45240</v>
      </c>
      <c r="H63" s="8">
        <v>0.16391203703703705</v>
      </c>
      <c r="I63" t="s">
        <v>824</v>
      </c>
      <c r="J63" t="s">
        <v>829</v>
      </c>
      <c r="K63" t="s">
        <v>822</v>
      </c>
      <c r="L63">
        <v>21</v>
      </c>
      <c r="M63">
        <v>7</v>
      </c>
      <c r="N63">
        <v>3</v>
      </c>
      <c r="O63">
        <v>750</v>
      </c>
      <c r="P63">
        <v>750</v>
      </c>
      <c r="Q63" t="s">
        <v>1009</v>
      </c>
    </row>
    <row r="64" spans="1:17" x14ac:dyDescent="0.35">
      <c r="A64">
        <v>159</v>
      </c>
      <c r="B64" t="s">
        <v>570</v>
      </c>
      <c r="C64">
        <v>43</v>
      </c>
      <c r="D64">
        <v>3</v>
      </c>
      <c r="E64" s="2">
        <v>45239</v>
      </c>
      <c r="F64" s="8">
        <v>0.89697916666666666</v>
      </c>
      <c r="G64" s="2">
        <v>45241</v>
      </c>
      <c r="H64" s="8">
        <v>0.20550925925925925</v>
      </c>
      <c r="I64" t="s">
        <v>236</v>
      </c>
      <c r="J64" t="s">
        <v>829</v>
      </c>
      <c r="K64" t="s">
        <v>822</v>
      </c>
      <c r="L64">
        <v>21</v>
      </c>
      <c r="M64">
        <v>2</v>
      </c>
      <c r="N64">
        <v>4</v>
      </c>
      <c r="O64">
        <v>750</v>
      </c>
      <c r="P64">
        <v>2250</v>
      </c>
      <c r="Q64" t="s">
        <v>1013</v>
      </c>
    </row>
    <row r="65" spans="1:17" x14ac:dyDescent="0.35">
      <c r="A65">
        <v>166</v>
      </c>
      <c r="B65" t="s">
        <v>222</v>
      </c>
      <c r="C65">
        <v>4</v>
      </c>
      <c r="D65">
        <v>3</v>
      </c>
      <c r="E65" s="2">
        <v>45237</v>
      </c>
      <c r="F65" s="8">
        <v>0.96212962962962967</v>
      </c>
      <c r="G65" s="2">
        <v>45240</v>
      </c>
      <c r="H65" s="8">
        <v>0.25886574074074076</v>
      </c>
      <c r="I65" t="s">
        <v>831</v>
      </c>
      <c r="J65" t="s">
        <v>829</v>
      </c>
      <c r="K65" t="s">
        <v>822</v>
      </c>
      <c r="L65">
        <v>23</v>
      </c>
      <c r="M65">
        <v>3</v>
      </c>
      <c r="N65">
        <v>6</v>
      </c>
      <c r="O65">
        <v>1199</v>
      </c>
      <c r="P65">
        <v>3597</v>
      </c>
      <c r="Q65" t="s">
        <v>1012</v>
      </c>
    </row>
    <row r="66" spans="1:17" x14ac:dyDescent="0.35">
      <c r="A66">
        <v>167</v>
      </c>
      <c r="B66" t="s">
        <v>126</v>
      </c>
      <c r="C66">
        <v>37</v>
      </c>
      <c r="D66">
        <v>4</v>
      </c>
      <c r="E66" s="2">
        <v>45234</v>
      </c>
      <c r="F66" s="8">
        <v>6.0312499999999998E-2</v>
      </c>
      <c r="G66" s="2">
        <v>45237</v>
      </c>
      <c r="H66" s="8">
        <v>0.63642361111111112</v>
      </c>
      <c r="I66" t="s">
        <v>659</v>
      </c>
      <c r="J66" t="s">
        <v>829</v>
      </c>
      <c r="K66" t="s">
        <v>822</v>
      </c>
      <c r="L66">
        <v>1</v>
      </c>
      <c r="M66">
        <v>3</v>
      </c>
      <c r="N66">
        <v>15</v>
      </c>
      <c r="O66">
        <v>1428</v>
      </c>
      <c r="P66">
        <v>5712</v>
      </c>
      <c r="Q66" t="s">
        <v>1007</v>
      </c>
    </row>
    <row r="67" spans="1:17" x14ac:dyDescent="0.35">
      <c r="A67">
        <v>174</v>
      </c>
      <c r="B67" t="s">
        <v>299</v>
      </c>
      <c r="C67">
        <v>4</v>
      </c>
      <c r="D67">
        <v>3</v>
      </c>
      <c r="E67" s="2">
        <v>45233</v>
      </c>
      <c r="F67" s="8">
        <v>0.65231481481481479</v>
      </c>
      <c r="G67" s="2">
        <v>45243</v>
      </c>
      <c r="H67" s="8">
        <v>0.75469907407407411</v>
      </c>
      <c r="I67" t="s">
        <v>624</v>
      </c>
      <c r="J67" t="s">
        <v>829</v>
      </c>
      <c r="K67" t="s">
        <v>822</v>
      </c>
      <c r="L67">
        <v>15</v>
      </c>
      <c r="M67">
        <v>10</v>
      </c>
      <c r="N67">
        <v>18</v>
      </c>
      <c r="O67">
        <v>1199</v>
      </c>
      <c r="P67">
        <v>3597</v>
      </c>
      <c r="Q67" t="s">
        <v>1009</v>
      </c>
    </row>
    <row r="68" spans="1:17" x14ac:dyDescent="0.35">
      <c r="A68">
        <v>183</v>
      </c>
      <c r="B68" t="s">
        <v>494</v>
      </c>
      <c r="C68">
        <v>48</v>
      </c>
      <c r="D68">
        <v>3</v>
      </c>
      <c r="E68" s="2">
        <v>45239</v>
      </c>
      <c r="F68" s="8">
        <v>0.7581134259259259</v>
      </c>
      <c r="G68" s="2">
        <v>45241</v>
      </c>
      <c r="H68" s="8">
        <v>0.64543981481481483</v>
      </c>
      <c r="I68" t="s">
        <v>645</v>
      </c>
      <c r="J68" t="s">
        <v>829</v>
      </c>
      <c r="K68" t="s">
        <v>822</v>
      </c>
      <c r="L68">
        <v>18</v>
      </c>
      <c r="M68">
        <v>2</v>
      </c>
      <c r="N68">
        <v>15</v>
      </c>
      <c r="O68">
        <v>433</v>
      </c>
      <c r="P68">
        <v>1299</v>
      </c>
      <c r="Q68" t="s">
        <v>1013</v>
      </c>
    </row>
    <row r="69" spans="1:17" x14ac:dyDescent="0.35">
      <c r="A69">
        <v>190</v>
      </c>
      <c r="B69" t="s">
        <v>576</v>
      </c>
      <c r="C69">
        <v>60</v>
      </c>
      <c r="D69">
        <v>5</v>
      </c>
      <c r="E69" s="2">
        <v>45239</v>
      </c>
      <c r="F69" s="8">
        <v>0.52348379629629627</v>
      </c>
      <c r="G69" s="2">
        <v>45243</v>
      </c>
      <c r="H69" s="8">
        <v>0.57041666666666668</v>
      </c>
      <c r="I69" t="s">
        <v>693</v>
      </c>
      <c r="J69" t="s">
        <v>829</v>
      </c>
      <c r="K69" t="s">
        <v>822</v>
      </c>
      <c r="L69">
        <v>12</v>
      </c>
      <c r="M69">
        <v>4</v>
      </c>
      <c r="N69">
        <v>13</v>
      </c>
      <c r="O69">
        <v>827</v>
      </c>
      <c r="P69">
        <v>4135</v>
      </c>
      <c r="Q69" t="s">
        <v>1013</v>
      </c>
    </row>
    <row r="70" spans="1:17" x14ac:dyDescent="0.35">
      <c r="A70">
        <v>250</v>
      </c>
      <c r="B70" t="s">
        <v>518</v>
      </c>
      <c r="C70">
        <v>37</v>
      </c>
      <c r="D70">
        <v>5</v>
      </c>
      <c r="E70" s="2">
        <v>45238</v>
      </c>
      <c r="F70" s="8">
        <v>0.63017361111111114</v>
      </c>
      <c r="G70" s="2">
        <v>45239</v>
      </c>
      <c r="H70" s="8">
        <v>6.3958333333333339E-2</v>
      </c>
      <c r="I70" t="s">
        <v>805</v>
      </c>
      <c r="J70" t="s">
        <v>829</v>
      </c>
      <c r="K70" t="s">
        <v>822</v>
      </c>
      <c r="L70">
        <v>15</v>
      </c>
      <c r="M70">
        <v>1</v>
      </c>
      <c r="N70">
        <v>1</v>
      </c>
      <c r="O70">
        <v>1428</v>
      </c>
      <c r="P70">
        <v>7140</v>
      </c>
      <c r="Q70" t="s">
        <v>1008</v>
      </c>
    </row>
    <row r="71" spans="1:17" x14ac:dyDescent="0.35">
      <c r="A71">
        <v>256</v>
      </c>
      <c r="B71" t="s">
        <v>395</v>
      </c>
      <c r="C71">
        <v>4</v>
      </c>
      <c r="D71">
        <v>5</v>
      </c>
      <c r="E71" s="2">
        <v>45236</v>
      </c>
      <c r="F71" s="8">
        <v>0.80126157407407406</v>
      </c>
      <c r="G71" s="2">
        <v>45244</v>
      </c>
      <c r="H71" s="8">
        <v>0.75410879629629635</v>
      </c>
      <c r="I71" t="s">
        <v>658</v>
      </c>
      <c r="J71" t="s">
        <v>829</v>
      </c>
      <c r="K71" t="s">
        <v>822</v>
      </c>
      <c r="L71">
        <v>19</v>
      </c>
      <c r="M71">
        <v>8</v>
      </c>
      <c r="N71">
        <v>18</v>
      </c>
      <c r="O71">
        <v>1199</v>
      </c>
      <c r="P71">
        <v>5995</v>
      </c>
      <c r="Q71" t="s">
        <v>1011</v>
      </c>
    </row>
    <row r="72" spans="1:17" x14ac:dyDescent="0.35">
      <c r="A72">
        <v>261</v>
      </c>
      <c r="B72" t="s">
        <v>258</v>
      </c>
      <c r="C72">
        <v>37</v>
      </c>
      <c r="D72">
        <v>3</v>
      </c>
      <c r="E72" s="2">
        <v>45236</v>
      </c>
      <c r="F72" s="8">
        <v>0.58599537037037042</v>
      </c>
      <c r="G72" s="2">
        <v>45242</v>
      </c>
      <c r="H72" s="8">
        <v>0.84568287037037038</v>
      </c>
      <c r="I72" t="s">
        <v>403</v>
      </c>
      <c r="J72" t="s">
        <v>829</v>
      </c>
      <c r="K72" t="s">
        <v>822</v>
      </c>
      <c r="L72">
        <v>14</v>
      </c>
      <c r="M72">
        <v>6</v>
      </c>
      <c r="N72">
        <v>20</v>
      </c>
      <c r="O72">
        <v>1428</v>
      </c>
      <c r="P72">
        <v>4284</v>
      </c>
      <c r="Q72" t="s">
        <v>1011</v>
      </c>
    </row>
    <row r="73" spans="1:17" x14ac:dyDescent="0.35">
      <c r="A73">
        <v>274</v>
      </c>
      <c r="B73" t="s">
        <v>470</v>
      </c>
      <c r="C73">
        <v>41</v>
      </c>
      <c r="D73">
        <v>5</v>
      </c>
      <c r="E73" s="2">
        <v>45232</v>
      </c>
      <c r="F73" s="8">
        <v>0.27628472222222222</v>
      </c>
      <c r="G73" s="2">
        <v>45242</v>
      </c>
      <c r="H73" s="8">
        <v>0.87055555555555553</v>
      </c>
      <c r="I73" t="s">
        <v>832</v>
      </c>
      <c r="J73" t="s">
        <v>829</v>
      </c>
      <c r="K73" t="s">
        <v>822</v>
      </c>
      <c r="L73">
        <v>6</v>
      </c>
      <c r="M73">
        <v>10</v>
      </c>
      <c r="N73">
        <v>20</v>
      </c>
      <c r="O73">
        <v>1977</v>
      </c>
      <c r="P73">
        <v>9885</v>
      </c>
      <c r="Q73" t="s">
        <v>1013</v>
      </c>
    </row>
    <row r="74" spans="1:17" x14ac:dyDescent="0.35">
      <c r="A74">
        <v>282</v>
      </c>
      <c r="B74" t="s">
        <v>553</v>
      </c>
      <c r="C74">
        <v>41</v>
      </c>
      <c r="D74">
        <v>2</v>
      </c>
      <c r="E74" s="2">
        <v>45241</v>
      </c>
      <c r="F74" s="8">
        <v>0.43112268518518521</v>
      </c>
      <c r="G74" s="2">
        <v>45249</v>
      </c>
      <c r="H74" s="8">
        <v>0.92476851851851849</v>
      </c>
      <c r="I74" t="s">
        <v>92</v>
      </c>
      <c r="J74" t="s">
        <v>829</v>
      </c>
      <c r="K74" t="s">
        <v>822</v>
      </c>
      <c r="L74">
        <v>10</v>
      </c>
      <c r="M74">
        <v>8</v>
      </c>
      <c r="N74">
        <v>22</v>
      </c>
      <c r="O74">
        <v>1977</v>
      </c>
      <c r="P74">
        <v>3954</v>
      </c>
      <c r="Q74" t="s">
        <v>1007</v>
      </c>
    </row>
    <row r="75" spans="1:17" x14ac:dyDescent="0.35">
      <c r="A75">
        <v>309</v>
      </c>
      <c r="B75" t="s">
        <v>429</v>
      </c>
      <c r="C75">
        <v>60</v>
      </c>
      <c r="D75">
        <v>4</v>
      </c>
      <c r="E75" s="2">
        <v>45240</v>
      </c>
      <c r="F75" s="8">
        <v>0.27688657407407408</v>
      </c>
      <c r="G75" s="2">
        <v>45243</v>
      </c>
      <c r="H75" s="8">
        <v>0.21843750000000001</v>
      </c>
      <c r="I75" t="s">
        <v>92</v>
      </c>
      <c r="J75" t="s">
        <v>829</v>
      </c>
      <c r="K75" t="s">
        <v>822</v>
      </c>
      <c r="L75">
        <v>6</v>
      </c>
      <c r="M75">
        <v>3</v>
      </c>
      <c r="N75">
        <v>5</v>
      </c>
      <c r="O75">
        <v>827</v>
      </c>
      <c r="P75">
        <v>3308</v>
      </c>
      <c r="Q75" t="s">
        <v>1009</v>
      </c>
    </row>
    <row r="76" spans="1:17" x14ac:dyDescent="0.35">
      <c r="A76">
        <v>314</v>
      </c>
      <c r="B76" t="s">
        <v>186</v>
      </c>
      <c r="C76">
        <v>43</v>
      </c>
      <c r="D76">
        <v>4</v>
      </c>
      <c r="E76" s="2">
        <v>45235</v>
      </c>
      <c r="F76" s="8">
        <v>0.49214120370370368</v>
      </c>
      <c r="G76" s="2">
        <v>45245</v>
      </c>
      <c r="H76" s="8">
        <v>0.20515046296296297</v>
      </c>
      <c r="I76" t="s">
        <v>769</v>
      </c>
      <c r="J76" t="s">
        <v>829</v>
      </c>
      <c r="K76" t="s">
        <v>822</v>
      </c>
      <c r="L76">
        <v>11</v>
      </c>
      <c r="M76">
        <v>10</v>
      </c>
      <c r="N76">
        <v>4</v>
      </c>
      <c r="O76">
        <v>750</v>
      </c>
      <c r="P76">
        <v>3000</v>
      </c>
      <c r="Q76" t="s">
        <v>1010</v>
      </c>
    </row>
    <row r="77" spans="1:17" x14ac:dyDescent="0.35">
      <c r="A77">
        <v>331</v>
      </c>
      <c r="B77" t="s">
        <v>150</v>
      </c>
      <c r="C77">
        <v>41</v>
      </c>
      <c r="D77">
        <v>5</v>
      </c>
      <c r="E77" s="2">
        <v>45234</v>
      </c>
      <c r="F77" s="8">
        <v>0.90967592592592594</v>
      </c>
      <c r="G77" s="2">
        <v>45235</v>
      </c>
      <c r="H77" s="8">
        <v>0.59273148148148147</v>
      </c>
      <c r="I77" t="s">
        <v>833</v>
      </c>
      <c r="J77" t="s">
        <v>829</v>
      </c>
      <c r="K77" t="s">
        <v>822</v>
      </c>
      <c r="L77">
        <v>21</v>
      </c>
      <c r="M77">
        <v>1</v>
      </c>
      <c r="N77">
        <v>14</v>
      </c>
      <c r="O77">
        <v>1977</v>
      </c>
      <c r="P77">
        <v>9885</v>
      </c>
      <c r="Q77" t="s">
        <v>1007</v>
      </c>
    </row>
    <row r="78" spans="1:17" x14ac:dyDescent="0.35">
      <c r="A78">
        <v>349</v>
      </c>
      <c r="B78" t="s">
        <v>114</v>
      </c>
      <c r="C78">
        <v>44</v>
      </c>
      <c r="D78">
        <v>4</v>
      </c>
      <c r="E78" s="2">
        <v>45241</v>
      </c>
      <c r="F78" s="8">
        <v>0.14765046296296297</v>
      </c>
      <c r="G78" s="2">
        <v>45242</v>
      </c>
      <c r="H78" s="8">
        <v>0.43834490740740739</v>
      </c>
      <c r="I78" t="s">
        <v>637</v>
      </c>
      <c r="J78" t="s">
        <v>829</v>
      </c>
      <c r="K78" t="s">
        <v>822</v>
      </c>
      <c r="L78">
        <v>3</v>
      </c>
      <c r="M78">
        <v>1</v>
      </c>
      <c r="N78">
        <v>10</v>
      </c>
      <c r="O78">
        <v>794</v>
      </c>
      <c r="P78">
        <v>3176</v>
      </c>
      <c r="Q78" t="s">
        <v>1007</v>
      </c>
    </row>
    <row r="79" spans="1:17" x14ac:dyDescent="0.35">
      <c r="A79">
        <v>360</v>
      </c>
      <c r="B79" t="s">
        <v>594</v>
      </c>
      <c r="C79">
        <v>41</v>
      </c>
      <c r="D79">
        <v>1</v>
      </c>
      <c r="E79" s="2">
        <v>45236</v>
      </c>
      <c r="F79" s="8">
        <v>0.1332986111111111</v>
      </c>
      <c r="G79" s="2">
        <v>45239</v>
      </c>
      <c r="H79" s="8">
        <v>0.73994212962962957</v>
      </c>
      <c r="I79" t="s">
        <v>735</v>
      </c>
      <c r="J79" t="s">
        <v>829</v>
      </c>
      <c r="K79" t="s">
        <v>822</v>
      </c>
      <c r="L79">
        <v>3</v>
      </c>
      <c r="M79">
        <v>3</v>
      </c>
      <c r="N79">
        <v>17</v>
      </c>
      <c r="O79">
        <v>1977</v>
      </c>
      <c r="P79">
        <v>1977</v>
      </c>
      <c r="Q79" t="s">
        <v>1011</v>
      </c>
    </row>
    <row r="80" spans="1:17" x14ac:dyDescent="0.35">
      <c r="A80">
        <v>364</v>
      </c>
      <c r="B80" t="s">
        <v>30</v>
      </c>
      <c r="C80">
        <v>43</v>
      </c>
      <c r="D80">
        <v>3</v>
      </c>
      <c r="E80" s="2">
        <v>45238</v>
      </c>
      <c r="F80" s="8">
        <v>0.25626157407407407</v>
      </c>
      <c r="G80" s="2">
        <v>45239</v>
      </c>
      <c r="H80" s="8">
        <v>0.19274305555555554</v>
      </c>
      <c r="I80" t="s">
        <v>368</v>
      </c>
      <c r="J80" t="s">
        <v>829</v>
      </c>
      <c r="K80" t="s">
        <v>822</v>
      </c>
      <c r="L80">
        <v>6</v>
      </c>
      <c r="M80">
        <v>1</v>
      </c>
      <c r="N80">
        <v>4</v>
      </c>
      <c r="O80">
        <v>750</v>
      </c>
      <c r="P80">
        <v>2250</v>
      </c>
      <c r="Q80" t="s">
        <v>1008</v>
      </c>
    </row>
    <row r="81" spans="1:17" x14ac:dyDescent="0.35">
      <c r="A81">
        <v>374</v>
      </c>
      <c r="B81" t="s">
        <v>524</v>
      </c>
      <c r="C81">
        <v>4</v>
      </c>
      <c r="D81">
        <v>1</v>
      </c>
      <c r="E81" s="2">
        <v>45237</v>
      </c>
      <c r="F81" s="8">
        <v>0.32467592592592592</v>
      </c>
      <c r="G81" s="2">
        <v>45239</v>
      </c>
      <c r="H81" s="8">
        <v>0.93939814814814815</v>
      </c>
      <c r="I81" t="s">
        <v>289</v>
      </c>
      <c r="J81" t="s">
        <v>829</v>
      </c>
      <c r="K81" t="s">
        <v>822</v>
      </c>
      <c r="L81">
        <v>7</v>
      </c>
      <c r="M81">
        <v>2</v>
      </c>
      <c r="N81">
        <v>22</v>
      </c>
      <c r="O81">
        <v>1199</v>
      </c>
      <c r="P81">
        <v>1199</v>
      </c>
      <c r="Q81" t="s">
        <v>1012</v>
      </c>
    </row>
    <row r="82" spans="1:17" x14ac:dyDescent="0.35">
      <c r="A82">
        <v>380</v>
      </c>
      <c r="B82" t="s">
        <v>67</v>
      </c>
      <c r="C82">
        <v>60</v>
      </c>
      <c r="D82">
        <v>4</v>
      </c>
      <c r="E82" s="2">
        <v>45238</v>
      </c>
      <c r="F82" s="8">
        <v>0.56460648148148151</v>
      </c>
      <c r="G82" s="2">
        <v>45245</v>
      </c>
      <c r="H82" s="8">
        <v>0.98653935185185182</v>
      </c>
      <c r="I82" t="s">
        <v>152</v>
      </c>
      <c r="J82" t="s">
        <v>829</v>
      </c>
      <c r="K82" t="s">
        <v>822</v>
      </c>
      <c r="L82">
        <v>13</v>
      </c>
      <c r="M82">
        <v>7</v>
      </c>
      <c r="N82">
        <v>23</v>
      </c>
      <c r="O82">
        <v>827</v>
      </c>
      <c r="P82">
        <v>3308</v>
      </c>
      <c r="Q82" t="s">
        <v>1008</v>
      </c>
    </row>
    <row r="83" spans="1:17" x14ac:dyDescent="0.35">
      <c r="A83">
        <v>383</v>
      </c>
      <c r="B83" t="s">
        <v>108</v>
      </c>
      <c r="C83">
        <v>37</v>
      </c>
      <c r="D83">
        <v>1</v>
      </c>
      <c r="E83" s="2">
        <v>45236</v>
      </c>
      <c r="F83" s="8">
        <v>1.1631944444444445E-2</v>
      </c>
      <c r="G83" s="2">
        <v>45238</v>
      </c>
      <c r="H83" s="8">
        <v>0.84018518518518515</v>
      </c>
      <c r="I83" t="s">
        <v>19</v>
      </c>
      <c r="J83" t="s">
        <v>829</v>
      </c>
      <c r="K83" t="s">
        <v>822</v>
      </c>
      <c r="L83">
        <v>0</v>
      </c>
      <c r="M83">
        <v>2</v>
      </c>
      <c r="N83">
        <v>20</v>
      </c>
      <c r="O83">
        <v>1428</v>
      </c>
      <c r="P83">
        <v>1428</v>
      </c>
      <c r="Q83" t="s">
        <v>1011</v>
      </c>
    </row>
    <row r="84" spans="1:17" x14ac:dyDescent="0.35">
      <c r="A84">
        <v>392</v>
      </c>
      <c r="B84" t="s">
        <v>512</v>
      </c>
      <c r="C84">
        <v>4</v>
      </c>
      <c r="D84">
        <v>2</v>
      </c>
      <c r="E84" s="2">
        <v>45235</v>
      </c>
      <c r="F84" s="8">
        <v>0.13813657407407406</v>
      </c>
      <c r="G84" s="2">
        <v>45236</v>
      </c>
      <c r="H84" s="8">
        <v>0.78690972222222222</v>
      </c>
      <c r="I84" t="s">
        <v>116</v>
      </c>
      <c r="J84" t="s">
        <v>829</v>
      </c>
      <c r="K84" t="s">
        <v>822</v>
      </c>
      <c r="L84">
        <v>3</v>
      </c>
      <c r="M84">
        <v>1</v>
      </c>
      <c r="N84">
        <v>18</v>
      </c>
      <c r="O84">
        <v>1199</v>
      </c>
      <c r="P84">
        <v>2398</v>
      </c>
      <c r="Q84" t="s">
        <v>1010</v>
      </c>
    </row>
    <row r="85" spans="1:17" x14ac:dyDescent="0.35">
      <c r="A85">
        <v>397</v>
      </c>
      <c r="B85" t="s">
        <v>216</v>
      </c>
      <c r="C85">
        <v>4</v>
      </c>
      <c r="D85">
        <v>5</v>
      </c>
      <c r="E85" s="2">
        <v>45239</v>
      </c>
      <c r="F85" s="8">
        <v>0.28343750000000001</v>
      </c>
      <c r="G85" s="2">
        <v>45244</v>
      </c>
      <c r="H85" s="8">
        <v>0.56428240740740743</v>
      </c>
      <c r="I85" t="s">
        <v>637</v>
      </c>
      <c r="J85" t="s">
        <v>829</v>
      </c>
      <c r="K85" t="s">
        <v>822</v>
      </c>
      <c r="L85">
        <v>6</v>
      </c>
      <c r="M85">
        <v>5</v>
      </c>
      <c r="N85">
        <v>13</v>
      </c>
      <c r="O85">
        <v>1199</v>
      </c>
      <c r="P85">
        <v>5995</v>
      </c>
      <c r="Q85" t="s">
        <v>1013</v>
      </c>
    </row>
    <row r="86" spans="1:17" x14ac:dyDescent="0.35">
      <c r="A86">
        <v>411</v>
      </c>
      <c r="B86" t="s">
        <v>49</v>
      </c>
      <c r="C86">
        <v>48</v>
      </c>
      <c r="D86">
        <v>1</v>
      </c>
      <c r="E86" s="2">
        <v>45235</v>
      </c>
      <c r="F86" s="8">
        <v>0.68858796296296299</v>
      </c>
      <c r="G86" s="2">
        <v>45238</v>
      </c>
      <c r="H86" s="8">
        <v>0.30655092592592592</v>
      </c>
      <c r="I86" t="s">
        <v>644</v>
      </c>
      <c r="J86" t="s">
        <v>829</v>
      </c>
      <c r="K86" t="s">
        <v>822</v>
      </c>
      <c r="L86">
        <v>16</v>
      </c>
      <c r="M86">
        <v>3</v>
      </c>
      <c r="N86">
        <v>7</v>
      </c>
      <c r="O86">
        <v>433</v>
      </c>
      <c r="P86">
        <v>433</v>
      </c>
      <c r="Q86" t="s">
        <v>1010</v>
      </c>
    </row>
    <row r="87" spans="1:17" x14ac:dyDescent="0.35">
      <c r="A87">
        <v>427</v>
      </c>
      <c r="B87" t="s">
        <v>264</v>
      </c>
      <c r="C87">
        <v>48</v>
      </c>
      <c r="D87">
        <v>5</v>
      </c>
      <c r="E87" s="2">
        <v>45233</v>
      </c>
      <c r="F87" s="8">
        <v>0.3309259259259259</v>
      </c>
      <c r="G87" s="2">
        <v>45243</v>
      </c>
      <c r="H87" s="8">
        <v>0.94874999999999998</v>
      </c>
      <c r="I87" t="s">
        <v>643</v>
      </c>
      <c r="J87" t="s">
        <v>829</v>
      </c>
      <c r="K87" t="s">
        <v>822</v>
      </c>
      <c r="L87">
        <v>7</v>
      </c>
      <c r="M87">
        <v>10</v>
      </c>
      <c r="N87">
        <v>22</v>
      </c>
      <c r="O87">
        <v>433</v>
      </c>
      <c r="P87">
        <v>2165</v>
      </c>
      <c r="Q87" t="s">
        <v>1009</v>
      </c>
    </row>
    <row r="88" spans="1:17" x14ac:dyDescent="0.35">
      <c r="A88">
        <v>444</v>
      </c>
      <c r="B88" t="s">
        <v>138</v>
      </c>
      <c r="C88">
        <v>60</v>
      </c>
      <c r="D88">
        <v>3</v>
      </c>
      <c r="E88" s="2">
        <v>45232</v>
      </c>
      <c r="F88" s="8">
        <v>4.2511574074074077E-2</v>
      </c>
      <c r="G88" s="2">
        <v>45239</v>
      </c>
      <c r="H88" s="8">
        <v>0.41273148148148148</v>
      </c>
      <c r="I88" t="s">
        <v>824</v>
      </c>
      <c r="J88" t="s">
        <v>829</v>
      </c>
      <c r="K88" t="s">
        <v>822</v>
      </c>
      <c r="L88">
        <v>1</v>
      </c>
      <c r="M88">
        <v>7</v>
      </c>
      <c r="N88">
        <v>9</v>
      </c>
      <c r="O88">
        <v>827</v>
      </c>
      <c r="P88">
        <v>2481</v>
      </c>
      <c r="Q88" t="s">
        <v>1013</v>
      </c>
    </row>
    <row r="89" spans="1:17" x14ac:dyDescent="0.35">
      <c r="A89">
        <v>462</v>
      </c>
      <c r="B89" t="s">
        <v>418</v>
      </c>
      <c r="C89">
        <v>60</v>
      </c>
      <c r="D89">
        <v>5</v>
      </c>
      <c r="E89" s="2">
        <v>45234</v>
      </c>
      <c r="F89" s="8">
        <v>0.75701388888888888</v>
      </c>
      <c r="G89" s="2">
        <v>45243</v>
      </c>
      <c r="H89" s="8">
        <v>0.59738425925925931</v>
      </c>
      <c r="I89" t="s">
        <v>712</v>
      </c>
      <c r="J89" t="s">
        <v>829</v>
      </c>
      <c r="K89" t="s">
        <v>822</v>
      </c>
      <c r="L89">
        <v>18</v>
      </c>
      <c r="M89">
        <v>9</v>
      </c>
      <c r="N89">
        <v>14</v>
      </c>
      <c r="O89">
        <v>827</v>
      </c>
      <c r="P89">
        <v>4135</v>
      </c>
      <c r="Q89" t="s">
        <v>1007</v>
      </c>
    </row>
    <row r="90" spans="1:17" x14ac:dyDescent="0.35">
      <c r="A90">
        <v>485</v>
      </c>
      <c r="B90" t="s">
        <v>186</v>
      </c>
      <c r="C90">
        <v>43</v>
      </c>
      <c r="D90">
        <v>4</v>
      </c>
      <c r="E90" s="2">
        <v>45236</v>
      </c>
      <c r="F90" s="8">
        <v>0.80583333333333329</v>
      </c>
      <c r="G90" s="2">
        <v>45244</v>
      </c>
      <c r="H90" s="8">
        <v>0.81057870370370366</v>
      </c>
      <c r="I90" t="s">
        <v>472</v>
      </c>
      <c r="J90" t="s">
        <v>829</v>
      </c>
      <c r="K90" t="s">
        <v>822</v>
      </c>
      <c r="L90">
        <v>19</v>
      </c>
      <c r="M90">
        <v>8</v>
      </c>
      <c r="N90">
        <v>19</v>
      </c>
      <c r="O90">
        <v>750</v>
      </c>
      <c r="P90">
        <v>3000</v>
      </c>
      <c r="Q90" t="s">
        <v>1011</v>
      </c>
    </row>
    <row r="91" spans="1:17" x14ac:dyDescent="0.35">
      <c r="A91">
        <v>512</v>
      </c>
      <c r="B91" t="s">
        <v>61</v>
      </c>
      <c r="C91">
        <v>41</v>
      </c>
      <c r="D91">
        <v>1</v>
      </c>
      <c r="E91" s="2">
        <v>45235</v>
      </c>
      <c r="F91" s="8">
        <v>0.11297453703703704</v>
      </c>
      <c r="G91" s="2">
        <v>45241</v>
      </c>
      <c r="H91" s="8">
        <v>0.54907407407407405</v>
      </c>
      <c r="I91" t="s">
        <v>757</v>
      </c>
      <c r="J91" t="s">
        <v>829</v>
      </c>
      <c r="K91" t="s">
        <v>822</v>
      </c>
      <c r="L91">
        <v>2</v>
      </c>
      <c r="M91">
        <v>6</v>
      </c>
      <c r="N91">
        <v>13</v>
      </c>
      <c r="O91">
        <v>1977</v>
      </c>
      <c r="P91">
        <v>1977</v>
      </c>
      <c r="Q91" t="s">
        <v>1010</v>
      </c>
    </row>
    <row r="92" spans="1:17" x14ac:dyDescent="0.35">
      <c r="A92">
        <v>517</v>
      </c>
      <c r="B92" t="s">
        <v>389</v>
      </c>
      <c r="C92">
        <v>60</v>
      </c>
      <c r="D92">
        <v>5</v>
      </c>
      <c r="E92" s="2">
        <v>45239</v>
      </c>
      <c r="F92" s="8">
        <v>4.2511574074074077E-2</v>
      </c>
      <c r="G92" s="2">
        <v>45247</v>
      </c>
      <c r="H92" s="8">
        <v>0.79508101851851853</v>
      </c>
      <c r="I92" t="s">
        <v>455</v>
      </c>
      <c r="J92" t="s">
        <v>829</v>
      </c>
      <c r="K92" t="s">
        <v>822</v>
      </c>
      <c r="L92">
        <v>1</v>
      </c>
      <c r="M92">
        <v>8</v>
      </c>
      <c r="N92">
        <v>19</v>
      </c>
      <c r="O92">
        <v>827</v>
      </c>
      <c r="P92">
        <v>4135</v>
      </c>
      <c r="Q92" t="s">
        <v>1013</v>
      </c>
    </row>
    <row r="93" spans="1:17" x14ac:dyDescent="0.35">
      <c r="A93">
        <v>587</v>
      </c>
      <c r="B93" t="s">
        <v>120</v>
      </c>
      <c r="C93">
        <v>43</v>
      </c>
      <c r="D93">
        <v>1</v>
      </c>
      <c r="E93" s="2">
        <v>45232</v>
      </c>
      <c r="F93" s="8">
        <v>3.5694444444444445E-2</v>
      </c>
      <c r="G93" s="2">
        <v>45233</v>
      </c>
      <c r="H93" s="8">
        <v>0.44520833333333332</v>
      </c>
      <c r="I93" t="s">
        <v>19</v>
      </c>
      <c r="J93" t="s">
        <v>829</v>
      </c>
      <c r="K93" t="s">
        <v>822</v>
      </c>
      <c r="L93">
        <v>0</v>
      </c>
      <c r="M93">
        <v>1</v>
      </c>
      <c r="N93">
        <v>10</v>
      </c>
      <c r="O93">
        <v>750</v>
      </c>
      <c r="P93">
        <v>750</v>
      </c>
      <c r="Q93" t="s">
        <v>1013</v>
      </c>
    </row>
    <row r="94" spans="1:17" x14ac:dyDescent="0.35">
      <c r="A94">
        <v>598</v>
      </c>
      <c r="B94" t="s">
        <v>334</v>
      </c>
      <c r="C94">
        <v>37</v>
      </c>
      <c r="D94">
        <v>3</v>
      </c>
      <c r="E94" s="2">
        <v>45241</v>
      </c>
      <c r="F94" s="8">
        <v>0.11901620370370371</v>
      </c>
      <c r="G94" s="2">
        <v>45248</v>
      </c>
      <c r="H94" s="8">
        <v>0.91211805555555558</v>
      </c>
      <c r="I94" t="s">
        <v>490</v>
      </c>
      <c r="J94" t="s">
        <v>829</v>
      </c>
      <c r="K94" t="s">
        <v>822</v>
      </c>
      <c r="L94">
        <v>2</v>
      </c>
      <c r="M94">
        <v>7</v>
      </c>
      <c r="N94">
        <v>21</v>
      </c>
      <c r="O94">
        <v>1428</v>
      </c>
      <c r="P94">
        <v>4284</v>
      </c>
      <c r="Q94" t="s">
        <v>1007</v>
      </c>
    </row>
    <row r="95" spans="1:17" x14ac:dyDescent="0.35">
      <c r="A95">
        <v>602</v>
      </c>
      <c r="B95" t="s">
        <v>264</v>
      </c>
      <c r="C95">
        <v>43</v>
      </c>
      <c r="D95">
        <v>5</v>
      </c>
      <c r="E95" s="2">
        <v>45232</v>
      </c>
      <c r="F95" s="8">
        <v>0.42876157407407406</v>
      </c>
      <c r="G95" s="2">
        <v>45241</v>
      </c>
      <c r="H95" s="8">
        <v>0.25138888888888888</v>
      </c>
      <c r="I95" t="s">
        <v>834</v>
      </c>
      <c r="J95" t="s">
        <v>829</v>
      </c>
      <c r="K95" t="s">
        <v>822</v>
      </c>
      <c r="L95">
        <v>10</v>
      </c>
      <c r="M95">
        <v>9</v>
      </c>
      <c r="N95">
        <v>6</v>
      </c>
      <c r="O95">
        <v>750</v>
      </c>
      <c r="P95">
        <v>3750</v>
      </c>
      <c r="Q95" t="s">
        <v>1013</v>
      </c>
    </row>
    <row r="96" spans="1:17" x14ac:dyDescent="0.35">
      <c r="A96">
        <v>613</v>
      </c>
      <c r="B96" t="s">
        <v>383</v>
      </c>
      <c r="C96">
        <v>4</v>
      </c>
      <c r="D96">
        <v>5</v>
      </c>
      <c r="E96" s="2">
        <v>45240</v>
      </c>
      <c r="F96" s="8">
        <v>0.74622685185185189</v>
      </c>
      <c r="G96" s="2">
        <v>45244</v>
      </c>
      <c r="H96" s="8">
        <v>0.80447916666666663</v>
      </c>
      <c r="I96" t="s">
        <v>785</v>
      </c>
      <c r="J96" t="s">
        <v>829</v>
      </c>
      <c r="K96" t="s">
        <v>822</v>
      </c>
      <c r="L96">
        <v>17</v>
      </c>
      <c r="M96">
        <v>4</v>
      </c>
      <c r="N96">
        <v>19</v>
      </c>
      <c r="O96">
        <v>1199</v>
      </c>
      <c r="P96">
        <v>5995</v>
      </c>
      <c r="Q96" t="s">
        <v>1009</v>
      </c>
    </row>
    <row r="97" spans="1:17" x14ac:dyDescent="0.35">
      <c r="A97">
        <v>616</v>
      </c>
      <c r="B97" t="s">
        <v>49</v>
      </c>
      <c r="C97">
        <v>44</v>
      </c>
      <c r="D97">
        <v>5</v>
      </c>
      <c r="E97" s="2">
        <v>45238</v>
      </c>
      <c r="F97" s="8">
        <v>0.99857638888888889</v>
      </c>
      <c r="G97" s="2">
        <v>45242</v>
      </c>
      <c r="H97" s="8">
        <v>0.80623842592592587</v>
      </c>
      <c r="I97" t="s">
        <v>601</v>
      </c>
      <c r="J97" t="s">
        <v>829</v>
      </c>
      <c r="K97" t="s">
        <v>822</v>
      </c>
      <c r="L97">
        <v>23</v>
      </c>
      <c r="M97">
        <v>4</v>
      </c>
      <c r="N97">
        <v>19</v>
      </c>
      <c r="O97">
        <v>794</v>
      </c>
      <c r="P97">
        <v>3970</v>
      </c>
      <c r="Q97" t="s">
        <v>1008</v>
      </c>
    </row>
    <row r="98" spans="1:17" x14ac:dyDescent="0.35">
      <c r="A98">
        <v>618</v>
      </c>
      <c r="B98" t="s">
        <v>441</v>
      </c>
      <c r="C98">
        <v>60</v>
      </c>
      <c r="D98">
        <v>4</v>
      </c>
      <c r="E98" s="2">
        <v>45235</v>
      </c>
      <c r="F98" s="8">
        <v>0.67306712962962967</v>
      </c>
      <c r="G98" s="2">
        <v>45245</v>
      </c>
      <c r="H98" s="8">
        <v>0.72333333333333338</v>
      </c>
      <c r="I98" t="s">
        <v>685</v>
      </c>
      <c r="J98" t="s">
        <v>829</v>
      </c>
      <c r="K98" t="s">
        <v>822</v>
      </c>
      <c r="L98">
        <v>16</v>
      </c>
      <c r="M98">
        <v>10</v>
      </c>
      <c r="N98">
        <v>17</v>
      </c>
      <c r="O98">
        <v>827</v>
      </c>
      <c r="P98">
        <v>3308</v>
      </c>
      <c r="Q98" t="s">
        <v>1010</v>
      </c>
    </row>
    <row r="99" spans="1:17" x14ac:dyDescent="0.35">
      <c r="A99">
        <v>622</v>
      </c>
      <c r="B99" t="s">
        <v>506</v>
      </c>
      <c r="C99">
        <v>4</v>
      </c>
      <c r="D99">
        <v>4</v>
      </c>
      <c r="E99" s="2">
        <v>45238</v>
      </c>
      <c r="F99" s="8">
        <v>0.59273148148148147</v>
      </c>
      <c r="G99" s="2">
        <v>45239</v>
      </c>
      <c r="H99" s="8">
        <v>0.66599537037037038</v>
      </c>
      <c r="I99" t="s">
        <v>820</v>
      </c>
      <c r="J99" t="s">
        <v>829</v>
      </c>
      <c r="K99" t="s">
        <v>822</v>
      </c>
      <c r="L99">
        <v>14</v>
      </c>
      <c r="M99">
        <v>1</v>
      </c>
      <c r="N99">
        <v>15</v>
      </c>
      <c r="O99">
        <v>1199</v>
      </c>
      <c r="P99">
        <v>4796</v>
      </c>
      <c r="Q99" t="s">
        <v>1008</v>
      </c>
    </row>
    <row r="100" spans="1:17" x14ac:dyDescent="0.35">
      <c r="A100">
        <v>623</v>
      </c>
      <c r="B100" t="s">
        <v>281</v>
      </c>
      <c r="C100">
        <v>37</v>
      </c>
      <c r="D100">
        <v>2</v>
      </c>
      <c r="E100" s="2">
        <v>45238</v>
      </c>
      <c r="F100" s="8">
        <v>0.56793981481481481</v>
      </c>
      <c r="G100" s="2">
        <v>45248</v>
      </c>
      <c r="H100" s="8">
        <v>0.60114583333333338</v>
      </c>
      <c r="I100" t="s">
        <v>685</v>
      </c>
      <c r="J100" t="s">
        <v>829</v>
      </c>
      <c r="K100" t="s">
        <v>822</v>
      </c>
      <c r="L100">
        <v>13</v>
      </c>
      <c r="M100">
        <v>10</v>
      </c>
      <c r="N100">
        <v>14</v>
      </c>
      <c r="O100">
        <v>1428</v>
      </c>
      <c r="P100">
        <v>2856</v>
      </c>
      <c r="Q100" t="s">
        <v>1008</v>
      </c>
    </row>
    <row r="101" spans="1:17" x14ac:dyDescent="0.35">
      <c r="A101">
        <v>642</v>
      </c>
      <c r="B101" t="s">
        <v>138</v>
      </c>
      <c r="C101">
        <v>44</v>
      </c>
      <c r="D101">
        <v>5</v>
      </c>
      <c r="E101" s="2">
        <v>45232</v>
      </c>
      <c r="F101" s="8">
        <v>0.22643518518518518</v>
      </c>
      <c r="G101" s="2">
        <v>45237</v>
      </c>
      <c r="H101" s="8">
        <v>2.0729166666666667E-2</v>
      </c>
      <c r="I101" t="s">
        <v>780</v>
      </c>
      <c r="J101" t="s">
        <v>829</v>
      </c>
      <c r="K101" t="s">
        <v>822</v>
      </c>
      <c r="L101">
        <v>5</v>
      </c>
      <c r="M101">
        <v>5</v>
      </c>
      <c r="N101">
        <v>0</v>
      </c>
      <c r="O101">
        <v>794</v>
      </c>
      <c r="P101">
        <v>3970</v>
      </c>
      <c r="Q101" t="s">
        <v>1013</v>
      </c>
    </row>
    <row r="102" spans="1:17" x14ac:dyDescent="0.35">
      <c r="A102">
        <v>648</v>
      </c>
      <c r="B102" t="s">
        <v>252</v>
      </c>
      <c r="C102">
        <v>41</v>
      </c>
      <c r="D102">
        <v>3</v>
      </c>
      <c r="E102" s="2">
        <v>45235</v>
      </c>
      <c r="F102" s="8">
        <v>0.79601851851851857</v>
      </c>
      <c r="G102" s="2">
        <v>45239</v>
      </c>
      <c r="H102" s="8">
        <v>0.35069444444444442</v>
      </c>
      <c r="I102" t="s">
        <v>751</v>
      </c>
      <c r="J102" t="s">
        <v>829</v>
      </c>
      <c r="K102" t="s">
        <v>822</v>
      </c>
      <c r="L102">
        <v>19</v>
      </c>
      <c r="M102">
        <v>4</v>
      </c>
      <c r="N102">
        <v>8</v>
      </c>
      <c r="O102">
        <v>1977</v>
      </c>
      <c r="P102">
        <v>5931</v>
      </c>
      <c r="Q102" t="s">
        <v>1010</v>
      </c>
    </row>
    <row r="103" spans="1:17" x14ac:dyDescent="0.35">
      <c r="A103">
        <v>649</v>
      </c>
      <c r="B103" t="s">
        <v>328</v>
      </c>
      <c r="C103">
        <v>43</v>
      </c>
      <c r="D103">
        <v>3</v>
      </c>
      <c r="E103" s="2">
        <v>45232</v>
      </c>
      <c r="F103" s="8">
        <v>0.12894675925925925</v>
      </c>
      <c r="G103" s="2">
        <v>45241</v>
      </c>
      <c r="H103" s="8">
        <v>0.37170138888888887</v>
      </c>
      <c r="I103" t="s">
        <v>800</v>
      </c>
      <c r="J103" t="s">
        <v>829</v>
      </c>
      <c r="K103" t="s">
        <v>822</v>
      </c>
      <c r="L103">
        <v>3</v>
      </c>
      <c r="M103">
        <v>9</v>
      </c>
      <c r="N103">
        <v>8</v>
      </c>
      <c r="O103">
        <v>750</v>
      </c>
      <c r="P103">
        <v>2250</v>
      </c>
      <c r="Q103" t="s">
        <v>1013</v>
      </c>
    </row>
    <row r="104" spans="1:17" x14ac:dyDescent="0.35">
      <c r="A104">
        <v>667</v>
      </c>
      <c r="B104" t="s">
        <v>322</v>
      </c>
      <c r="C104">
        <v>44</v>
      </c>
      <c r="D104">
        <v>3</v>
      </c>
      <c r="E104" s="2">
        <v>45234</v>
      </c>
      <c r="F104" s="8">
        <v>0.35206018518518517</v>
      </c>
      <c r="G104" s="2">
        <v>45237</v>
      </c>
      <c r="H104" s="8">
        <v>0.43818287037037035</v>
      </c>
      <c r="I104" t="s">
        <v>639</v>
      </c>
      <c r="J104" t="s">
        <v>829</v>
      </c>
      <c r="K104" t="s">
        <v>822</v>
      </c>
      <c r="L104">
        <v>8</v>
      </c>
      <c r="M104">
        <v>3</v>
      </c>
      <c r="N104">
        <v>10</v>
      </c>
      <c r="O104">
        <v>794</v>
      </c>
      <c r="P104">
        <v>2382</v>
      </c>
      <c r="Q104" t="s">
        <v>1007</v>
      </c>
    </row>
    <row r="105" spans="1:17" x14ac:dyDescent="0.35">
      <c r="A105">
        <v>672</v>
      </c>
      <c r="B105" t="s">
        <v>305</v>
      </c>
      <c r="C105">
        <v>44</v>
      </c>
      <c r="D105">
        <v>5</v>
      </c>
      <c r="E105" s="2">
        <v>45237</v>
      </c>
      <c r="F105" s="8">
        <v>0.58767361111111116</v>
      </c>
      <c r="G105" s="2">
        <v>45239</v>
      </c>
      <c r="H105" s="8">
        <v>0.28237268518518521</v>
      </c>
      <c r="I105" t="s">
        <v>651</v>
      </c>
      <c r="J105" t="s">
        <v>829</v>
      </c>
      <c r="K105" t="s">
        <v>822</v>
      </c>
      <c r="L105">
        <v>14</v>
      </c>
      <c r="M105">
        <v>2</v>
      </c>
      <c r="N105">
        <v>6</v>
      </c>
      <c r="O105">
        <v>794</v>
      </c>
      <c r="P105">
        <v>3970</v>
      </c>
      <c r="Q105" t="s">
        <v>1012</v>
      </c>
    </row>
    <row r="106" spans="1:17" x14ac:dyDescent="0.35">
      <c r="A106">
        <v>677</v>
      </c>
      <c r="B106" t="s">
        <v>281</v>
      </c>
      <c r="C106">
        <v>37</v>
      </c>
      <c r="D106">
        <v>5</v>
      </c>
      <c r="E106" s="2">
        <v>45234</v>
      </c>
      <c r="F106" s="8">
        <v>0.32917824074074076</v>
      </c>
      <c r="G106" s="2">
        <v>45244</v>
      </c>
      <c r="H106" s="8">
        <v>0.23096064814814815</v>
      </c>
      <c r="I106" t="s">
        <v>672</v>
      </c>
      <c r="J106" t="s">
        <v>829</v>
      </c>
      <c r="K106" t="s">
        <v>822</v>
      </c>
      <c r="L106">
        <v>7</v>
      </c>
      <c r="M106">
        <v>10</v>
      </c>
      <c r="N106">
        <v>5</v>
      </c>
      <c r="O106">
        <v>1428</v>
      </c>
      <c r="P106">
        <v>7140</v>
      </c>
      <c r="Q106" t="s">
        <v>1007</v>
      </c>
    </row>
    <row r="107" spans="1:17" x14ac:dyDescent="0.35">
      <c r="A107">
        <v>690</v>
      </c>
      <c r="B107" t="s">
        <v>500</v>
      </c>
      <c r="C107">
        <v>48</v>
      </c>
      <c r="D107">
        <v>2</v>
      </c>
      <c r="E107" s="2">
        <v>45232</v>
      </c>
      <c r="F107" s="8">
        <v>0.88431712962962961</v>
      </c>
      <c r="G107" s="2">
        <v>45235</v>
      </c>
      <c r="H107" s="8">
        <v>0.89777777777777779</v>
      </c>
      <c r="I107" t="s">
        <v>816</v>
      </c>
      <c r="J107" t="s">
        <v>829</v>
      </c>
      <c r="K107" t="s">
        <v>822</v>
      </c>
      <c r="L107">
        <v>21</v>
      </c>
      <c r="M107">
        <v>3</v>
      </c>
      <c r="N107">
        <v>21</v>
      </c>
      <c r="O107">
        <v>433</v>
      </c>
      <c r="P107">
        <v>866</v>
      </c>
      <c r="Q107" t="s">
        <v>1013</v>
      </c>
    </row>
    <row r="108" spans="1:17" x14ac:dyDescent="0.35">
      <c r="A108">
        <v>691</v>
      </c>
      <c r="B108" t="s">
        <v>24</v>
      </c>
      <c r="C108">
        <v>48</v>
      </c>
      <c r="D108">
        <v>5</v>
      </c>
      <c r="E108" s="2">
        <v>45236</v>
      </c>
      <c r="F108" s="8">
        <v>0.22410879629629629</v>
      </c>
      <c r="G108" s="2">
        <v>45240</v>
      </c>
      <c r="H108" s="8">
        <v>0.46418981481481481</v>
      </c>
      <c r="I108" t="s">
        <v>800</v>
      </c>
      <c r="J108" t="s">
        <v>829</v>
      </c>
      <c r="K108" t="s">
        <v>822</v>
      </c>
      <c r="L108">
        <v>5</v>
      </c>
      <c r="M108">
        <v>4</v>
      </c>
      <c r="N108">
        <v>11</v>
      </c>
      <c r="O108">
        <v>433</v>
      </c>
      <c r="P108">
        <v>2165</v>
      </c>
      <c r="Q108" t="s">
        <v>1011</v>
      </c>
    </row>
    <row r="109" spans="1:17" x14ac:dyDescent="0.35">
      <c r="A109">
        <v>693</v>
      </c>
      <c r="B109" t="s">
        <v>258</v>
      </c>
      <c r="C109">
        <v>4</v>
      </c>
      <c r="D109">
        <v>5</v>
      </c>
      <c r="E109" s="2">
        <v>45234</v>
      </c>
      <c r="F109" s="8">
        <v>0.99230324074074072</v>
      </c>
      <c r="G109" s="2">
        <v>45237</v>
      </c>
      <c r="H109" s="8">
        <v>0.23017361111111112</v>
      </c>
      <c r="I109" t="s">
        <v>661</v>
      </c>
      <c r="J109" t="s">
        <v>829</v>
      </c>
      <c r="K109" t="s">
        <v>822</v>
      </c>
      <c r="L109">
        <v>23</v>
      </c>
      <c r="M109">
        <v>3</v>
      </c>
      <c r="N109">
        <v>5</v>
      </c>
      <c r="O109">
        <v>1199</v>
      </c>
      <c r="P109">
        <v>5995</v>
      </c>
      <c r="Q109" t="s">
        <v>1007</v>
      </c>
    </row>
    <row r="110" spans="1:17" x14ac:dyDescent="0.35">
      <c r="A110">
        <v>701</v>
      </c>
      <c r="B110" t="s">
        <v>482</v>
      </c>
      <c r="C110">
        <v>41</v>
      </c>
      <c r="D110">
        <v>5</v>
      </c>
      <c r="E110" s="2">
        <v>45237</v>
      </c>
      <c r="F110" s="8">
        <v>0.45664351851851853</v>
      </c>
      <c r="G110" s="2">
        <v>45241</v>
      </c>
      <c r="H110" s="8">
        <v>0.20585648148148147</v>
      </c>
      <c r="I110" t="s">
        <v>761</v>
      </c>
      <c r="J110" t="s">
        <v>829</v>
      </c>
      <c r="K110" t="s">
        <v>822</v>
      </c>
      <c r="L110">
        <v>10</v>
      </c>
      <c r="M110">
        <v>4</v>
      </c>
      <c r="N110">
        <v>4</v>
      </c>
      <c r="O110">
        <v>1977</v>
      </c>
      <c r="P110">
        <v>9885</v>
      </c>
      <c r="Q110" t="s">
        <v>1012</v>
      </c>
    </row>
    <row r="111" spans="1:17" x14ac:dyDescent="0.35">
      <c r="A111">
        <v>702</v>
      </c>
      <c r="B111" t="s">
        <v>407</v>
      </c>
      <c r="C111">
        <v>60</v>
      </c>
      <c r="D111">
        <v>1</v>
      </c>
      <c r="E111" s="2">
        <v>45240</v>
      </c>
      <c r="F111" s="8">
        <v>0.36416666666666669</v>
      </c>
      <c r="G111" s="2">
        <v>45248</v>
      </c>
      <c r="H111" s="8">
        <v>0.26817129629629627</v>
      </c>
      <c r="I111" t="s">
        <v>758</v>
      </c>
      <c r="J111" t="s">
        <v>829</v>
      </c>
      <c r="K111" t="s">
        <v>822</v>
      </c>
      <c r="L111">
        <v>8</v>
      </c>
      <c r="M111">
        <v>8</v>
      </c>
      <c r="N111">
        <v>6</v>
      </c>
      <c r="O111">
        <v>827</v>
      </c>
      <c r="P111">
        <v>827</v>
      </c>
      <c r="Q111" t="s">
        <v>1009</v>
      </c>
    </row>
    <row r="112" spans="1:17" x14ac:dyDescent="0.35">
      <c r="A112">
        <v>713</v>
      </c>
      <c r="B112" t="s">
        <v>488</v>
      </c>
      <c r="C112">
        <v>37</v>
      </c>
      <c r="D112">
        <v>3</v>
      </c>
      <c r="E112" s="2">
        <v>45238</v>
      </c>
      <c r="F112" s="8">
        <v>0.97525462962962961</v>
      </c>
      <c r="G112" s="2">
        <v>45245</v>
      </c>
      <c r="H112" s="8">
        <v>0.95232638888888888</v>
      </c>
      <c r="I112" t="s">
        <v>431</v>
      </c>
      <c r="J112" t="s">
        <v>829</v>
      </c>
      <c r="K112" t="s">
        <v>822</v>
      </c>
      <c r="L112">
        <v>23</v>
      </c>
      <c r="M112">
        <v>7</v>
      </c>
      <c r="N112">
        <v>22</v>
      </c>
      <c r="O112">
        <v>1428</v>
      </c>
      <c r="P112">
        <v>4284</v>
      </c>
      <c r="Q112" t="s">
        <v>1008</v>
      </c>
    </row>
    <row r="113" spans="1:17" x14ac:dyDescent="0.35">
      <c r="A113">
        <v>743</v>
      </c>
      <c r="B113" t="s">
        <v>281</v>
      </c>
      <c r="C113">
        <v>4</v>
      </c>
      <c r="D113">
        <v>2</v>
      </c>
      <c r="E113" s="2">
        <v>45239</v>
      </c>
      <c r="F113" s="8">
        <v>0.56119212962962961</v>
      </c>
      <c r="G113" s="2">
        <v>45243</v>
      </c>
      <c r="H113" s="8">
        <v>5.3055555555555557E-2</v>
      </c>
      <c r="I113" t="s">
        <v>431</v>
      </c>
      <c r="J113" t="s">
        <v>829</v>
      </c>
      <c r="K113" t="s">
        <v>822</v>
      </c>
      <c r="L113">
        <v>13</v>
      </c>
      <c r="M113">
        <v>4</v>
      </c>
      <c r="N113">
        <v>1</v>
      </c>
      <c r="O113">
        <v>1199</v>
      </c>
      <c r="P113">
        <v>2398</v>
      </c>
      <c r="Q113" t="s">
        <v>1013</v>
      </c>
    </row>
    <row r="114" spans="1:17" x14ac:dyDescent="0.35">
      <c r="A114">
        <v>745</v>
      </c>
      <c r="B114" t="s">
        <v>322</v>
      </c>
      <c r="C114">
        <v>44</v>
      </c>
      <c r="D114">
        <v>1</v>
      </c>
      <c r="E114" s="2">
        <v>45237</v>
      </c>
      <c r="F114" s="8">
        <v>0.38363425925925926</v>
      </c>
      <c r="G114" s="2">
        <v>45239</v>
      </c>
      <c r="H114" s="8">
        <v>2.087962962962963E-2</v>
      </c>
      <c r="I114" t="s">
        <v>104</v>
      </c>
      <c r="J114" t="s">
        <v>829</v>
      </c>
      <c r="K114" t="s">
        <v>822</v>
      </c>
      <c r="L114">
        <v>9</v>
      </c>
      <c r="M114">
        <v>2</v>
      </c>
      <c r="N114">
        <v>0</v>
      </c>
      <c r="O114">
        <v>794</v>
      </c>
      <c r="P114">
        <v>794</v>
      </c>
      <c r="Q114" t="s">
        <v>1012</v>
      </c>
    </row>
    <row r="115" spans="1:17" x14ac:dyDescent="0.35">
      <c r="A115">
        <v>753</v>
      </c>
      <c r="B115" t="s">
        <v>281</v>
      </c>
      <c r="C115">
        <v>60</v>
      </c>
      <c r="D115">
        <v>1</v>
      </c>
      <c r="E115" s="2">
        <v>45236</v>
      </c>
      <c r="F115" s="8">
        <v>0.28863425925925928</v>
      </c>
      <c r="G115" s="2">
        <v>45242</v>
      </c>
      <c r="H115" s="8">
        <v>0.20070601851851852</v>
      </c>
      <c r="I115" t="s">
        <v>819</v>
      </c>
      <c r="J115" t="s">
        <v>829</v>
      </c>
      <c r="K115" t="s">
        <v>822</v>
      </c>
      <c r="L115">
        <v>6</v>
      </c>
      <c r="M115">
        <v>6</v>
      </c>
      <c r="N115">
        <v>4</v>
      </c>
      <c r="O115">
        <v>827</v>
      </c>
      <c r="P115">
        <v>827</v>
      </c>
      <c r="Q115" t="s">
        <v>1011</v>
      </c>
    </row>
    <row r="116" spans="1:17" x14ac:dyDescent="0.35">
      <c r="A116">
        <v>759</v>
      </c>
      <c r="B116" t="s">
        <v>506</v>
      </c>
      <c r="C116">
        <v>48</v>
      </c>
      <c r="D116">
        <v>5</v>
      </c>
      <c r="E116" s="2">
        <v>45232</v>
      </c>
      <c r="F116" s="8">
        <v>0.25849537037037035</v>
      </c>
      <c r="G116" s="2">
        <v>45241</v>
      </c>
      <c r="H116" s="8">
        <v>0.25481481481481483</v>
      </c>
      <c r="I116" t="s">
        <v>706</v>
      </c>
      <c r="J116" t="s">
        <v>829</v>
      </c>
      <c r="K116" t="s">
        <v>822</v>
      </c>
      <c r="L116">
        <v>6</v>
      </c>
      <c r="M116">
        <v>9</v>
      </c>
      <c r="N116">
        <v>6</v>
      </c>
      <c r="O116">
        <v>433</v>
      </c>
      <c r="P116">
        <v>2165</v>
      </c>
      <c r="Q116" t="s">
        <v>1013</v>
      </c>
    </row>
    <row r="117" spans="1:17" x14ac:dyDescent="0.35">
      <c r="A117">
        <v>765</v>
      </c>
      <c r="B117" t="s">
        <v>339</v>
      </c>
      <c r="C117">
        <v>41</v>
      </c>
      <c r="D117">
        <v>2</v>
      </c>
      <c r="E117" s="2">
        <v>45233</v>
      </c>
      <c r="F117" s="8">
        <v>0.10949074074074074</v>
      </c>
      <c r="G117" s="2">
        <v>45236</v>
      </c>
      <c r="H117" s="8">
        <v>0.16142361111111111</v>
      </c>
      <c r="I117" t="s">
        <v>703</v>
      </c>
      <c r="J117" t="s">
        <v>829</v>
      </c>
      <c r="K117" t="s">
        <v>822</v>
      </c>
      <c r="L117">
        <v>2</v>
      </c>
      <c r="M117">
        <v>3</v>
      </c>
      <c r="N117">
        <v>3</v>
      </c>
      <c r="O117">
        <v>1977</v>
      </c>
      <c r="P117">
        <v>3954</v>
      </c>
      <c r="Q117" t="s">
        <v>1009</v>
      </c>
    </row>
    <row r="118" spans="1:17" x14ac:dyDescent="0.35">
      <c r="A118">
        <v>776</v>
      </c>
      <c r="B118" t="s">
        <v>316</v>
      </c>
      <c r="C118">
        <v>43</v>
      </c>
      <c r="D118">
        <v>1</v>
      </c>
      <c r="E118" s="2">
        <v>45239</v>
      </c>
      <c r="F118" s="8">
        <v>0.3117361111111111</v>
      </c>
      <c r="G118" s="2">
        <v>45242</v>
      </c>
      <c r="H118" s="8">
        <v>0.90212962962962961</v>
      </c>
      <c r="I118" t="s">
        <v>639</v>
      </c>
      <c r="J118" t="s">
        <v>829</v>
      </c>
      <c r="K118" t="s">
        <v>822</v>
      </c>
      <c r="L118">
        <v>7</v>
      </c>
      <c r="M118">
        <v>3</v>
      </c>
      <c r="N118">
        <v>21</v>
      </c>
      <c r="O118">
        <v>750</v>
      </c>
      <c r="P118">
        <v>750</v>
      </c>
      <c r="Q118" t="s">
        <v>1013</v>
      </c>
    </row>
    <row r="119" spans="1:17" x14ac:dyDescent="0.35">
      <c r="A119">
        <v>792</v>
      </c>
      <c r="B119" t="s">
        <v>102</v>
      </c>
      <c r="C119">
        <v>43</v>
      </c>
      <c r="D119">
        <v>2</v>
      </c>
      <c r="E119" s="2">
        <v>45239</v>
      </c>
      <c r="F119" s="8">
        <v>0.29231481481481481</v>
      </c>
      <c r="G119" s="2">
        <v>45240</v>
      </c>
      <c r="H119" s="8">
        <v>0.21819444444444444</v>
      </c>
      <c r="I119" t="s">
        <v>710</v>
      </c>
      <c r="J119" t="s">
        <v>829</v>
      </c>
      <c r="K119" t="s">
        <v>822</v>
      </c>
      <c r="L119">
        <v>7</v>
      </c>
      <c r="M119">
        <v>1</v>
      </c>
      <c r="N119">
        <v>5</v>
      </c>
      <c r="O119">
        <v>750</v>
      </c>
      <c r="P119">
        <v>1500</v>
      </c>
      <c r="Q119" t="s">
        <v>1013</v>
      </c>
    </row>
    <row r="120" spans="1:17" x14ac:dyDescent="0.35">
      <c r="A120">
        <v>822</v>
      </c>
      <c r="B120" t="s">
        <v>453</v>
      </c>
      <c r="C120">
        <v>41</v>
      </c>
      <c r="D120">
        <v>5</v>
      </c>
      <c r="E120" s="2">
        <v>45239</v>
      </c>
      <c r="F120" s="8">
        <v>0.14104166666666668</v>
      </c>
      <c r="G120" s="2">
        <v>45242</v>
      </c>
      <c r="H120" s="8">
        <v>0.17728009259259259</v>
      </c>
      <c r="I120" t="s">
        <v>212</v>
      </c>
      <c r="J120" t="s">
        <v>829</v>
      </c>
      <c r="K120" t="s">
        <v>822</v>
      </c>
      <c r="L120">
        <v>3</v>
      </c>
      <c r="M120">
        <v>3</v>
      </c>
      <c r="N120">
        <v>4</v>
      </c>
      <c r="O120">
        <v>1977</v>
      </c>
      <c r="P120">
        <v>9885</v>
      </c>
      <c r="Q120" t="s">
        <v>1013</v>
      </c>
    </row>
    <row r="121" spans="1:17" x14ac:dyDescent="0.35">
      <c r="A121">
        <v>834</v>
      </c>
      <c r="B121" t="s">
        <v>186</v>
      </c>
      <c r="C121">
        <v>60</v>
      </c>
      <c r="D121">
        <v>5</v>
      </c>
      <c r="E121" s="2">
        <v>45233</v>
      </c>
      <c r="F121" s="8">
        <v>0.77453703703703702</v>
      </c>
      <c r="G121" s="2">
        <v>45242</v>
      </c>
      <c r="H121" s="8">
        <v>0.58459490740740738</v>
      </c>
      <c r="I121" t="s">
        <v>689</v>
      </c>
      <c r="J121" t="s">
        <v>829</v>
      </c>
      <c r="K121" t="s">
        <v>822</v>
      </c>
      <c r="L121">
        <v>18</v>
      </c>
      <c r="M121">
        <v>9</v>
      </c>
      <c r="N121">
        <v>14</v>
      </c>
      <c r="O121">
        <v>827</v>
      </c>
      <c r="P121">
        <v>4135</v>
      </c>
      <c r="Q121" t="s">
        <v>1009</v>
      </c>
    </row>
    <row r="122" spans="1:17" x14ac:dyDescent="0.35">
      <c r="A122">
        <v>836</v>
      </c>
      <c r="B122" t="s">
        <v>132</v>
      </c>
      <c r="C122">
        <v>44</v>
      </c>
      <c r="D122">
        <v>5</v>
      </c>
      <c r="E122" s="2">
        <v>45238</v>
      </c>
      <c r="F122" s="8">
        <v>0.1083912037037037</v>
      </c>
      <c r="G122" s="2">
        <v>45241</v>
      </c>
      <c r="H122" s="8">
        <v>0.13295138888888888</v>
      </c>
      <c r="I122" t="s">
        <v>560</v>
      </c>
      <c r="J122" t="s">
        <v>829</v>
      </c>
      <c r="K122" t="s">
        <v>822</v>
      </c>
      <c r="L122">
        <v>2</v>
      </c>
      <c r="M122">
        <v>3</v>
      </c>
      <c r="N122">
        <v>3</v>
      </c>
      <c r="O122">
        <v>794</v>
      </c>
      <c r="P122">
        <v>3970</v>
      </c>
      <c r="Q122" t="s">
        <v>1008</v>
      </c>
    </row>
    <row r="123" spans="1:17" x14ac:dyDescent="0.35">
      <c r="A123">
        <v>847</v>
      </c>
      <c r="B123" t="s">
        <v>67</v>
      </c>
      <c r="C123">
        <v>44</v>
      </c>
      <c r="D123">
        <v>4</v>
      </c>
      <c r="E123" s="2">
        <v>45237</v>
      </c>
      <c r="F123" s="8">
        <v>0.75714120370370375</v>
      </c>
      <c r="G123" s="2">
        <v>45242</v>
      </c>
      <c r="H123" s="8">
        <v>0.43166666666666664</v>
      </c>
      <c r="I123" t="s">
        <v>649</v>
      </c>
      <c r="J123" t="s">
        <v>829</v>
      </c>
      <c r="K123" t="s">
        <v>822</v>
      </c>
      <c r="L123">
        <v>18</v>
      </c>
      <c r="M123">
        <v>5</v>
      </c>
      <c r="N123">
        <v>10</v>
      </c>
      <c r="O123">
        <v>794</v>
      </c>
      <c r="P123">
        <v>3176</v>
      </c>
      <c r="Q123" t="s">
        <v>1012</v>
      </c>
    </row>
    <row r="124" spans="1:17" x14ac:dyDescent="0.35">
      <c r="A124">
        <v>852</v>
      </c>
      <c r="B124" t="s">
        <v>222</v>
      </c>
      <c r="C124">
        <v>44</v>
      </c>
      <c r="D124">
        <v>2</v>
      </c>
      <c r="E124" s="2">
        <v>45241</v>
      </c>
      <c r="F124" s="8">
        <v>0.40400462962962963</v>
      </c>
      <c r="G124" s="2">
        <v>45244</v>
      </c>
      <c r="H124" s="8">
        <v>0.59409722222222228</v>
      </c>
      <c r="I124" t="s">
        <v>716</v>
      </c>
      <c r="J124" t="s">
        <v>829</v>
      </c>
      <c r="K124" t="s">
        <v>822</v>
      </c>
      <c r="L124">
        <v>9</v>
      </c>
      <c r="M124">
        <v>3</v>
      </c>
      <c r="N124">
        <v>14</v>
      </c>
      <c r="O124">
        <v>794</v>
      </c>
      <c r="P124">
        <v>1588</v>
      </c>
      <c r="Q124" t="s">
        <v>1007</v>
      </c>
    </row>
    <row r="125" spans="1:17" x14ac:dyDescent="0.35">
      <c r="A125">
        <v>858</v>
      </c>
      <c r="B125" t="s">
        <v>287</v>
      </c>
      <c r="C125">
        <v>44</v>
      </c>
      <c r="D125">
        <v>4</v>
      </c>
      <c r="E125" s="2">
        <v>45238</v>
      </c>
      <c r="F125" s="8">
        <v>7.7638888888888882E-2</v>
      </c>
      <c r="G125" s="2">
        <v>45239</v>
      </c>
      <c r="H125" s="8">
        <v>0.66763888888888889</v>
      </c>
      <c r="I125" t="s">
        <v>651</v>
      </c>
      <c r="J125" t="s">
        <v>829</v>
      </c>
      <c r="K125" t="s">
        <v>822</v>
      </c>
      <c r="L125">
        <v>1</v>
      </c>
      <c r="M125">
        <v>1</v>
      </c>
      <c r="N125">
        <v>16</v>
      </c>
      <c r="O125">
        <v>794</v>
      </c>
      <c r="P125">
        <v>3176</v>
      </c>
      <c r="Q125" t="s">
        <v>1008</v>
      </c>
    </row>
    <row r="126" spans="1:17" x14ac:dyDescent="0.35">
      <c r="A126">
        <v>859</v>
      </c>
      <c r="B126" t="s">
        <v>293</v>
      </c>
      <c r="C126">
        <v>43</v>
      </c>
      <c r="D126">
        <v>1</v>
      </c>
      <c r="E126" s="2">
        <v>45240</v>
      </c>
      <c r="F126" s="8">
        <v>0.29607638888888888</v>
      </c>
      <c r="G126" s="2">
        <v>45245</v>
      </c>
      <c r="H126" s="8">
        <v>7.3923611111111107E-2</v>
      </c>
      <c r="I126" t="s">
        <v>727</v>
      </c>
      <c r="J126" t="s">
        <v>829</v>
      </c>
      <c r="K126" t="s">
        <v>822</v>
      </c>
      <c r="L126">
        <v>7</v>
      </c>
      <c r="M126">
        <v>5</v>
      </c>
      <c r="N126">
        <v>1</v>
      </c>
      <c r="O126">
        <v>750</v>
      </c>
      <c r="P126">
        <v>750</v>
      </c>
      <c r="Q126" t="s">
        <v>1009</v>
      </c>
    </row>
    <row r="127" spans="1:17" x14ac:dyDescent="0.35">
      <c r="A127">
        <v>867</v>
      </c>
      <c r="B127" t="s">
        <v>96</v>
      </c>
      <c r="C127">
        <v>48</v>
      </c>
      <c r="D127">
        <v>1</v>
      </c>
      <c r="E127" s="2">
        <v>45232</v>
      </c>
      <c r="F127" s="8">
        <v>0.51534722222222218</v>
      </c>
      <c r="G127" s="2">
        <v>45234</v>
      </c>
      <c r="H127" s="8">
        <v>0.21443287037037037</v>
      </c>
      <c r="I127" t="s">
        <v>835</v>
      </c>
      <c r="J127" t="s">
        <v>829</v>
      </c>
      <c r="K127" t="s">
        <v>822</v>
      </c>
      <c r="L127">
        <v>12</v>
      </c>
      <c r="M127">
        <v>2</v>
      </c>
      <c r="N127">
        <v>5</v>
      </c>
      <c r="O127">
        <v>433</v>
      </c>
      <c r="P127">
        <v>433</v>
      </c>
      <c r="Q127" t="s">
        <v>1013</v>
      </c>
    </row>
    <row r="128" spans="1:17" x14ac:dyDescent="0.35">
      <c r="A128">
        <v>870</v>
      </c>
      <c r="B128" t="s">
        <v>120</v>
      </c>
      <c r="C128">
        <v>43</v>
      </c>
      <c r="D128">
        <v>5</v>
      </c>
      <c r="E128" s="2">
        <v>45235</v>
      </c>
      <c r="F128" s="8">
        <v>0.6345601851851852</v>
      </c>
      <c r="G128" s="2">
        <v>45237</v>
      </c>
      <c r="H128" s="8">
        <v>0.28447916666666667</v>
      </c>
      <c r="I128" t="s">
        <v>254</v>
      </c>
      <c r="J128" t="s">
        <v>829</v>
      </c>
      <c r="K128" t="s">
        <v>822</v>
      </c>
      <c r="L128">
        <v>15</v>
      </c>
      <c r="M128">
        <v>2</v>
      </c>
      <c r="N128">
        <v>6</v>
      </c>
      <c r="O128">
        <v>750</v>
      </c>
      <c r="P128">
        <v>3750</v>
      </c>
      <c r="Q128" t="s">
        <v>1010</v>
      </c>
    </row>
    <row r="129" spans="1:17" x14ac:dyDescent="0.35">
      <c r="A129">
        <v>876</v>
      </c>
      <c r="B129" t="s">
        <v>108</v>
      </c>
      <c r="C129">
        <v>4</v>
      </c>
      <c r="D129">
        <v>4</v>
      </c>
      <c r="E129" s="2">
        <v>45236</v>
      </c>
      <c r="F129" s="8">
        <v>0.40180555555555558</v>
      </c>
      <c r="G129" s="2">
        <v>45244</v>
      </c>
      <c r="H129" s="8">
        <v>0.86648148148148152</v>
      </c>
      <c r="I129" t="s">
        <v>816</v>
      </c>
      <c r="J129" t="s">
        <v>829</v>
      </c>
      <c r="K129" t="s">
        <v>822</v>
      </c>
      <c r="L129">
        <v>9</v>
      </c>
      <c r="M129">
        <v>8</v>
      </c>
      <c r="N129">
        <v>20</v>
      </c>
      <c r="O129">
        <v>1199</v>
      </c>
      <c r="P129">
        <v>4796</v>
      </c>
      <c r="Q129" t="s">
        <v>1011</v>
      </c>
    </row>
    <row r="130" spans="1:17" x14ac:dyDescent="0.35">
      <c r="A130">
        <v>878</v>
      </c>
      <c r="B130" t="s">
        <v>349</v>
      </c>
      <c r="C130">
        <v>4</v>
      </c>
      <c r="D130">
        <v>2</v>
      </c>
      <c r="E130" s="2">
        <v>45240</v>
      </c>
      <c r="F130" s="8">
        <v>0.69234953703703705</v>
      </c>
      <c r="G130" s="2">
        <v>45249</v>
      </c>
      <c r="H130" s="8">
        <v>0.69831018518518517</v>
      </c>
      <c r="I130" t="s">
        <v>164</v>
      </c>
      <c r="J130" t="s">
        <v>829</v>
      </c>
      <c r="K130" t="s">
        <v>822</v>
      </c>
      <c r="L130">
        <v>16</v>
      </c>
      <c r="M130">
        <v>9</v>
      </c>
      <c r="N130">
        <v>16</v>
      </c>
      <c r="O130">
        <v>1199</v>
      </c>
      <c r="P130">
        <v>2398</v>
      </c>
      <c r="Q130" t="s">
        <v>1009</v>
      </c>
    </row>
    <row r="131" spans="1:17" x14ac:dyDescent="0.35">
      <c r="A131">
        <v>927</v>
      </c>
      <c r="B131" t="s">
        <v>599</v>
      </c>
      <c r="C131">
        <v>43</v>
      </c>
      <c r="D131">
        <v>4</v>
      </c>
      <c r="E131" s="2">
        <v>45233</v>
      </c>
      <c r="F131" s="8">
        <v>0.27656249999999999</v>
      </c>
      <c r="G131" s="2">
        <v>45241</v>
      </c>
      <c r="H131" s="8">
        <v>0.20853009259259259</v>
      </c>
      <c r="I131" t="s">
        <v>664</v>
      </c>
      <c r="J131" t="s">
        <v>829</v>
      </c>
      <c r="K131" t="s">
        <v>822</v>
      </c>
      <c r="L131">
        <v>6</v>
      </c>
      <c r="M131">
        <v>8</v>
      </c>
      <c r="N131">
        <v>5</v>
      </c>
      <c r="O131">
        <v>750</v>
      </c>
      <c r="P131">
        <v>3000</v>
      </c>
      <c r="Q131" t="s">
        <v>1009</v>
      </c>
    </row>
    <row r="132" spans="1:17" x14ac:dyDescent="0.35">
      <c r="A132">
        <v>936</v>
      </c>
      <c r="B132" t="s">
        <v>281</v>
      </c>
      <c r="C132">
        <v>43</v>
      </c>
      <c r="D132">
        <v>4</v>
      </c>
      <c r="E132" s="2">
        <v>45232</v>
      </c>
      <c r="F132" s="8">
        <v>0.89341435185185181</v>
      </c>
      <c r="G132" s="2">
        <v>45238</v>
      </c>
      <c r="H132" s="8">
        <v>0.41912037037037037</v>
      </c>
      <c r="I132" t="s">
        <v>667</v>
      </c>
      <c r="J132" t="s">
        <v>829</v>
      </c>
      <c r="K132" t="s">
        <v>822</v>
      </c>
      <c r="L132">
        <v>21</v>
      </c>
      <c r="M132">
        <v>6</v>
      </c>
      <c r="N132">
        <v>10</v>
      </c>
      <c r="O132">
        <v>750</v>
      </c>
      <c r="P132">
        <v>3000</v>
      </c>
      <c r="Q132" t="s">
        <v>1013</v>
      </c>
    </row>
    <row r="133" spans="1:17" x14ac:dyDescent="0.35">
      <c r="A133">
        <v>954</v>
      </c>
      <c r="B133" t="s">
        <v>383</v>
      </c>
      <c r="C133">
        <v>44</v>
      </c>
      <c r="D133">
        <v>3</v>
      </c>
      <c r="E133" s="2">
        <v>45232</v>
      </c>
      <c r="F133" s="8">
        <v>0.1678587962962963</v>
      </c>
      <c r="G133" s="2">
        <v>45233</v>
      </c>
      <c r="H133" s="8">
        <v>0.76459490740740743</v>
      </c>
      <c r="I133" t="s">
        <v>803</v>
      </c>
      <c r="J133" t="s">
        <v>829</v>
      </c>
      <c r="K133" t="s">
        <v>822</v>
      </c>
      <c r="L133">
        <v>4</v>
      </c>
      <c r="M133">
        <v>1</v>
      </c>
      <c r="N133">
        <v>18</v>
      </c>
      <c r="O133">
        <v>794</v>
      </c>
      <c r="P133">
        <v>2382</v>
      </c>
      <c r="Q133" t="s">
        <v>1013</v>
      </c>
    </row>
    <row r="134" spans="1:17" x14ac:dyDescent="0.35">
      <c r="A134">
        <v>960</v>
      </c>
      <c r="B134" t="s">
        <v>204</v>
      </c>
      <c r="C134">
        <v>48</v>
      </c>
      <c r="D134">
        <v>3</v>
      </c>
      <c r="E134" s="2">
        <v>45235</v>
      </c>
      <c r="F134" s="8">
        <v>0.22626157407407407</v>
      </c>
      <c r="G134" s="2">
        <v>45238</v>
      </c>
      <c r="H134" s="8">
        <v>0.41408564814814813</v>
      </c>
      <c r="I134" t="s">
        <v>644</v>
      </c>
      <c r="J134" t="s">
        <v>829</v>
      </c>
      <c r="K134" t="s">
        <v>822</v>
      </c>
      <c r="L134">
        <v>5</v>
      </c>
      <c r="M134">
        <v>3</v>
      </c>
      <c r="N134">
        <v>9</v>
      </c>
      <c r="O134">
        <v>433</v>
      </c>
      <c r="P134">
        <v>1299</v>
      </c>
      <c r="Q134" t="s">
        <v>1010</v>
      </c>
    </row>
    <row r="135" spans="1:17" x14ac:dyDescent="0.35">
      <c r="A135">
        <v>988</v>
      </c>
      <c r="B135" t="s">
        <v>132</v>
      </c>
      <c r="C135">
        <v>4</v>
      </c>
      <c r="D135">
        <v>3</v>
      </c>
      <c r="E135" s="2">
        <v>45240</v>
      </c>
      <c r="F135" s="8">
        <v>0.40783564814814816</v>
      </c>
      <c r="G135" s="2">
        <v>45245</v>
      </c>
      <c r="H135" s="8">
        <v>0.43702546296296296</v>
      </c>
      <c r="I135" t="s">
        <v>736</v>
      </c>
      <c r="J135" t="s">
        <v>829</v>
      </c>
      <c r="K135" t="s">
        <v>822</v>
      </c>
      <c r="L135">
        <v>9</v>
      </c>
      <c r="M135">
        <v>5</v>
      </c>
      <c r="N135">
        <v>10</v>
      </c>
      <c r="O135">
        <v>1199</v>
      </c>
      <c r="P135">
        <v>3597</v>
      </c>
      <c r="Q135" t="s">
        <v>1009</v>
      </c>
    </row>
    <row r="136" spans="1:17" x14ac:dyDescent="0.35">
      <c r="A136">
        <v>992</v>
      </c>
      <c r="B136" t="s">
        <v>547</v>
      </c>
      <c r="C136">
        <v>43</v>
      </c>
      <c r="D136">
        <v>3</v>
      </c>
      <c r="E136" s="2">
        <v>45232</v>
      </c>
      <c r="F136" s="8">
        <v>0.58962962962962961</v>
      </c>
      <c r="G136" s="2">
        <v>45233</v>
      </c>
      <c r="H136" s="8">
        <v>0.81434027777777773</v>
      </c>
      <c r="I136" t="s">
        <v>751</v>
      </c>
      <c r="J136" t="s">
        <v>829</v>
      </c>
      <c r="K136" t="s">
        <v>822</v>
      </c>
      <c r="L136">
        <v>14</v>
      </c>
      <c r="M136">
        <v>1</v>
      </c>
      <c r="N136">
        <v>19</v>
      </c>
      <c r="O136">
        <v>750</v>
      </c>
      <c r="P136">
        <v>2250</v>
      </c>
      <c r="Q136" t="s">
        <v>1013</v>
      </c>
    </row>
    <row r="137" spans="1:17" x14ac:dyDescent="0.35">
      <c r="A137">
        <v>998</v>
      </c>
      <c r="B137" t="s">
        <v>287</v>
      </c>
      <c r="C137">
        <v>44</v>
      </c>
      <c r="D137">
        <v>1</v>
      </c>
      <c r="E137" s="2">
        <v>45236</v>
      </c>
      <c r="F137" s="8">
        <v>0.67859953703703701</v>
      </c>
      <c r="G137" s="2">
        <v>45244</v>
      </c>
      <c r="H137" s="8">
        <v>0.18987268518518519</v>
      </c>
      <c r="I137" t="s">
        <v>803</v>
      </c>
      <c r="J137" t="s">
        <v>829</v>
      </c>
      <c r="K137" t="s">
        <v>822</v>
      </c>
      <c r="L137">
        <v>16</v>
      </c>
      <c r="M137">
        <v>8</v>
      </c>
      <c r="N137">
        <v>4</v>
      </c>
      <c r="O137">
        <v>794</v>
      </c>
      <c r="P137">
        <v>794</v>
      </c>
      <c r="Q137" t="s">
        <v>1011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88DB-B256-44EE-BD02-73B0564E80F8}">
  <dimension ref="A1"/>
  <sheetViews>
    <sheetView tabSelected="1" zoomScale="80" zoomScaleNormal="80" workbookViewId="0">
      <selection activeCell="X9" sqref="X9"/>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9954-B67C-4562-93A0-56B8B10E6C1C}">
  <dimension ref="A1:G56"/>
  <sheetViews>
    <sheetView workbookViewId="0">
      <selection activeCell="B8" sqref="B8"/>
    </sheetView>
  </sheetViews>
  <sheetFormatPr defaultRowHeight="14.5" x14ac:dyDescent="0.35"/>
  <cols>
    <col min="1" max="1" width="14" bestFit="1" customWidth="1"/>
    <col min="2" max="2" width="16.36328125" bestFit="1" customWidth="1"/>
    <col min="3" max="4" width="14.7265625" bestFit="1" customWidth="1"/>
    <col min="5" max="5" width="14.36328125" bestFit="1" customWidth="1"/>
    <col min="6" max="6" width="26.453125" bestFit="1" customWidth="1"/>
    <col min="7" max="7" width="11.26953125" bestFit="1" customWidth="1"/>
  </cols>
  <sheetData>
    <row r="1" spans="1:7" x14ac:dyDescent="0.35">
      <c r="A1" s="4" t="s">
        <v>1003</v>
      </c>
      <c r="B1" t="s">
        <v>1014</v>
      </c>
    </row>
    <row r="2" spans="1:7" x14ac:dyDescent="0.35">
      <c r="A2" s="5" t="s">
        <v>842</v>
      </c>
      <c r="B2" s="6">
        <v>95468</v>
      </c>
      <c r="D2" t="s">
        <v>1014</v>
      </c>
      <c r="E2" t="s">
        <v>1015</v>
      </c>
      <c r="F2" t="s">
        <v>1034</v>
      </c>
      <c r="G2" t="s">
        <v>1036</v>
      </c>
    </row>
    <row r="3" spans="1:7" x14ac:dyDescent="0.35">
      <c r="A3" s="5" t="s">
        <v>621</v>
      </c>
      <c r="B3" s="6">
        <v>704509</v>
      </c>
      <c r="D3" s="6">
        <v>3520984</v>
      </c>
      <c r="E3" s="7">
        <v>5530</v>
      </c>
      <c r="F3" s="6">
        <v>3520.9839999999999</v>
      </c>
      <c r="G3" s="7">
        <v>1000</v>
      </c>
    </row>
    <row r="4" spans="1:7" x14ac:dyDescent="0.35">
      <c r="A4" s="5" t="s">
        <v>747</v>
      </c>
      <c r="B4" s="6">
        <v>511823</v>
      </c>
    </row>
    <row r="5" spans="1:7" x14ac:dyDescent="0.35">
      <c r="A5" s="5" t="s">
        <v>837</v>
      </c>
      <c r="B5" s="6">
        <v>140393</v>
      </c>
      <c r="D5" s="4" t="s">
        <v>1003</v>
      </c>
      <c r="E5" t="s">
        <v>1014</v>
      </c>
    </row>
    <row r="6" spans="1:7" x14ac:dyDescent="0.35">
      <c r="A6" s="5" t="s">
        <v>840</v>
      </c>
      <c r="B6" s="6">
        <v>150346</v>
      </c>
      <c r="D6" s="5" t="s">
        <v>891</v>
      </c>
      <c r="E6" s="6">
        <v>97665</v>
      </c>
    </row>
    <row r="7" spans="1:7" x14ac:dyDescent="0.35">
      <c r="A7" s="5" t="s">
        <v>841</v>
      </c>
      <c r="B7" s="6">
        <v>157913</v>
      </c>
      <c r="D7" s="5" t="s">
        <v>973</v>
      </c>
      <c r="E7" s="6">
        <v>106624</v>
      </c>
    </row>
    <row r="8" spans="1:7" x14ac:dyDescent="0.35">
      <c r="A8" s="5" t="s">
        <v>839</v>
      </c>
      <c r="B8" s="6">
        <v>135826</v>
      </c>
      <c r="D8" s="5" t="s">
        <v>957</v>
      </c>
      <c r="E8" s="6">
        <v>101556</v>
      </c>
    </row>
    <row r="9" spans="1:7" x14ac:dyDescent="0.35">
      <c r="A9" s="5" t="s">
        <v>795</v>
      </c>
      <c r="B9" s="6">
        <v>737389</v>
      </c>
      <c r="D9" s="5" t="s">
        <v>859</v>
      </c>
      <c r="E9" s="6">
        <v>121905</v>
      </c>
    </row>
    <row r="10" spans="1:7" x14ac:dyDescent="0.35">
      <c r="A10" s="5" t="s">
        <v>843</v>
      </c>
      <c r="B10" s="6">
        <v>136938</v>
      </c>
      <c r="D10" s="5" t="s">
        <v>905</v>
      </c>
      <c r="E10" s="6">
        <v>114476</v>
      </c>
    </row>
    <row r="11" spans="1:7" x14ac:dyDescent="0.35">
      <c r="A11" s="5" t="s">
        <v>845</v>
      </c>
      <c r="B11" s="6">
        <v>151619</v>
      </c>
      <c r="D11" s="5" t="s">
        <v>1004</v>
      </c>
      <c r="E11" s="6">
        <v>542226</v>
      </c>
    </row>
    <row r="12" spans="1:7" x14ac:dyDescent="0.35">
      <c r="A12" s="5" t="s">
        <v>822</v>
      </c>
      <c r="B12" s="6">
        <v>449169</v>
      </c>
    </row>
    <row r="13" spans="1:7" x14ac:dyDescent="0.35">
      <c r="A13" s="5" t="s">
        <v>836</v>
      </c>
      <c r="B13" s="6">
        <v>149591</v>
      </c>
    </row>
    <row r="14" spans="1:7" x14ac:dyDescent="0.35">
      <c r="A14" s="5" t="s">
        <v>1004</v>
      </c>
      <c r="B14" s="6">
        <v>3520984</v>
      </c>
      <c r="D14" s="4" t="s">
        <v>1003</v>
      </c>
      <c r="E14" t="s">
        <v>1014</v>
      </c>
    </row>
    <row r="15" spans="1:7" x14ac:dyDescent="0.35">
      <c r="D15" s="5" t="s">
        <v>874</v>
      </c>
      <c r="E15" s="6">
        <v>329862</v>
      </c>
    </row>
    <row r="16" spans="1:7" x14ac:dyDescent="0.35">
      <c r="D16" s="5" t="s">
        <v>866</v>
      </c>
      <c r="E16" s="6">
        <v>1005645</v>
      </c>
    </row>
    <row r="17" spans="1:5" x14ac:dyDescent="0.35">
      <c r="A17" s="4" t="s">
        <v>1003</v>
      </c>
      <c r="B17" t="s">
        <v>1035</v>
      </c>
      <c r="D17" s="5" t="s">
        <v>885</v>
      </c>
      <c r="E17" s="6">
        <v>201151</v>
      </c>
    </row>
    <row r="18" spans="1:5" x14ac:dyDescent="0.35">
      <c r="A18" s="5" t="s">
        <v>218</v>
      </c>
      <c r="B18" s="7">
        <v>18</v>
      </c>
      <c r="D18" s="5" t="s">
        <v>863</v>
      </c>
      <c r="E18" s="6">
        <v>212281</v>
      </c>
    </row>
    <row r="19" spans="1:5" x14ac:dyDescent="0.35">
      <c r="A19" s="5" t="s">
        <v>152</v>
      </c>
      <c r="B19" s="7">
        <v>21</v>
      </c>
      <c r="D19" s="5" t="s">
        <v>794</v>
      </c>
      <c r="E19" s="6">
        <v>297372</v>
      </c>
    </row>
    <row r="20" spans="1:5" x14ac:dyDescent="0.35">
      <c r="A20" s="5" t="s">
        <v>32</v>
      </c>
      <c r="B20" s="7">
        <v>18</v>
      </c>
      <c r="D20" s="5" t="s">
        <v>860</v>
      </c>
      <c r="E20" s="6">
        <v>740831</v>
      </c>
    </row>
    <row r="21" spans="1:5" x14ac:dyDescent="0.35">
      <c r="A21" s="5" t="s">
        <v>324</v>
      </c>
      <c r="B21" s="7">
        <v>28</v>
      </c>
      <c r="D21" s="5" t="s">
        <v>869</v>
      </c>
      <c r="E21" s="6">
        <v>733842</v>
      </c>
    </row>
    <row r="22" spans="1:5" x14ac:dyDescent="0.35">
      <c r="A22" s="5" t="s">
        <v>230</v>
      </c>
      <c r="B22" s="7">
        <v>21</v>
      </c>
      <c r="D22" s="5" t="s">
        <v>1004</v>
      </c>
      <c r="E22" s="6">
        <v>3520984</v>
      </c>
    </row>
    <row r="23" spans="1:5" x14ac:dyDescent="0.35">
      <c r="A23" s="5" t="s">
        <v>301</v>
      </c>
      <c r="B23" s="7">
        <v>20</v>
      </c>
    </row>
    <row r="24" spans="1:5" x14ac:dyDescent="0.35">
      <c r="A24" s="5" t="s">
        <v>188</v>
      </c>
      <c r="B24" s="7">
        <v>24</v>
      </c>
    </row>
    <row r="25" spans="1:5" x14ac:dyDescent="0.35">
      <c r="A25" s="5" t="s">
        <v>307</v>
      </c>
      <c r="B25" s="7">
        <v>29</v>
      </c>
      <c r="D25">
        <f>CORREL(Orders[Quantity],Orders[diff_order_delivery])</f>
        <v>3.4781737193018245E-3</v>
      </c>
    </row>
    <row r="26" spans="1:5" x14ac:dyDescent="0.35">
      <c r="A26" s="5" t="s">
        <v>158</v>
      </c>
      <c r="B26" s="7">
        <v>27</v>
      </c>
    </row>
    <row r="27" spans="1:5" x14ac:dyDescent="0.35">
      <c r="A27" s="5" t="s">
        <v>397</v>
      </c>
      <c r="B27" s="7">
        <v>19</v>
      </c>
      <c r="D27" s="4" t="s">
        <v>1003</v>
      </c>
      <c r="E27" t="s">
        <v>1014</v>
      </c>
    </row>
    <row r="28" spans="1:5" x14ac:dyDescent="0.35">
      <c r="A28" s="5" t="s">
        <v>1004</v>
      </c>
      <c r="B28" s="7">
        <v>225</v>
      </c>
      <c r="D28" s="5" t="s">
        <v>699</v>
      </c>
      <c r="E28" s="6">
        <v>586176</v>
      </c>
    </row>
    <row r="29" spans="1:5" x14ac:dyDescent="0.35">
      <c r="D29" s="5" t="s">
        <v>698</v>
      </c>
      <c r="E29" s="6">
        <v>674634</v>
      </c>
    </row>
    <row r="30" spans="1:5" x14ac:dyDescent="0.35">
      <c r="D30" s="5" t="s">
        <v>707</v>
      </c>
      <c r="E30" s="6">
        <v>408194</v>
      </c>
    </row>
    <row r="31" spans="1:5" x14ac:dyDescent="0.35">
      <c r="A31" s="4" t="s">
        <v>1003</v>
      </c>
      <c r="B31" t="s">
        <v>1014</v>
      </c>
      <c r="D31" s="5" t="s">
        <v>829</v>
      </c>
      <c r="E31" s="6">
        <v>313783</v>
      </c>
    </row>
    <row r="32" spans="1:5" x14ac:dyDescent="0.35">
      <c r="A32" s="5">
        <v>0</v>
      </c>
      <c r="B32" s="6">
        <v>99400</v>
      </c>
      <c r="D32" s="5" t="s">
        <v>701</v>
      </c>
      <c r="E32" s="6">
        <v>574682</v>
      </c>
    </row>
    <row r="33" spans="1:5" x14ac:dyDescent="0.35">
      <c r="A33" s="5">
        <v>1</v>
      </c>
      <c r="B33" s="6">
        <v>129309</v>
      </c>
      <c r="D33" s="5" t="s">
        <v>794</v>
      </c>
      <c r="E33" s="6">
        <v>631585</v>
      </c>
    </row>
    <row r="34" spans="1:5" x14ac:dyDescent="0.35">
      <c r="A34" s="5">
        <v>2</v>
      </c>
      <c r="B34" s="6">
        <v>152940</v>
      </c>
      <c r="D34" s="5" t="s">
        <v>620</v>
      </c>
      <c r="E34" s="6">
        <v>331930</v>
      </c>
    </row>
    <row r="35" spans="1:5" x14ac:dyDescent="0.35">
      <c r="A35" s="5">
        <v>3</v>
      </c>
      <c r="B35" s="6">
        <v>146810</v>
      </c>
      <c r="D35" s="5" t="s">
        <v>1004</v>
      </c>
      <c r="E35" s="6">
        <v>3520984</v>
      </c>
    </row>
    <row r="36" spans="1:5" x14ac:dyDescent="0.35">
      <c r="A36" s="5">
        <v>4</v>
      </c>
      <c r="B36" s="6">
        <v>114700</v>
      </c>
    </row>
    <row r="37" spans="1:5" x14ac:dyDescent="0.35">
      <c r="A37" s="5">
        <v>5</v>
      </c>
      <c r="B37" s="6">
        <v>156198</v>
      </c>
    </row>
    <row r="38" spans="1:5" x14ac:dyDescent="0.35">
      <c r="A38" s="5">
        <v>6</v>
      </c>
      <c r="B38" s="6">
        <v>177211</v>
      </c>
    </row>
    <row r="39" spans="1:5" x14ac:dyDescent="0.35">
      <c r="A39" s="5">
        <v>7</v>
      </c>
      <c r="B39" s="6">
        <v>147749</v>
      </c>
    </row>
    <row r="40" spans="1:5" x14ac:dyDescent="0.35">
      <c r="A40" s="5">
        <v>8</v>
      </c>
      <c r="B40" s="6">
        <v>133617</v>
      </c>
    </row>
    <row r="41" spans="1:5" x14ac:dyDescent="0.35">
      <c r="A41" s="5">
        <v>9</v>
      </c>
      <c r="B41" s="6">
        <v>153678</v>
      </c>
    </row>
    <row r="42" spans="1:5" x14ac:dyDescent="0.35">
      <c r="A42" s="5">
        <v>10</v>
      </c>
      <c r="B42" s="6">
        <v>94985</v>
      </c>
    </row>
    <row r="43" spans="1:5" x14ac:dyDescent="0.35">
      <c r="A43" s="5">
        <v>11</v>
      </c>
      <c r="B43" s="6">
        <v>130287</v>
      </c>
    </row>
    <row r="44" spans="1:5" x14ac:dyDescent="0.35">
      <c r="A44" s="5">
        <v>12</v>
      </c>
      <c r="B44" s="6">
        <v>162394</v>
      </c>
    </row>
    <row r="45" spans="1:5" x14ac:dyDescent="0.35">
      <c r="A45" s="5">
        <v>13</v>
      </c>
      <c r="B45" s="6">
        <v>152340</v>
      </c>
    </row>
    <row r="46" spans="1:5" x14ac:dyDescent="0.35">
      <c r="A46" s="5">
        <v>14</v>
      </c>
      <c r="B46" s="6">
        <v>126406</v>
      </c>
    </row>
    <row r="47" spans="1:5" x14ac:dyDescent="0.35">
      <c r="A47" s="5">
        <v>15</v>
      </c>
      <c r="B47" s="6">
        <v>163586</v>
      </c>
    </row>
    <row r="48" spans="1:5" x14ac:dyDescent="0.35">
      <c r="A48" s="5">
        <v>16</v>
      </c>
      <c r="B48" s="6">
        <v>128797</v>
      </c>
    </row>
    <row r="49" spans="1:2" x14ac:dyDescent="0.35">
      <c r="A49" s="5">
        <v>17</v>
      </c>
      <c r="B49" s="6">
        <v>155373</v>
      </c>
    </row>
    <row r="50" spans="1:2" x14ac:dyDescent="0.35">
      <c r="A50" s="5">
        <v>18</v>
      </c>
      <c r="B50" s="6">
        <v>173118</v>
      </c>
    </row>
    <row r="51" spans="1:2" x14ac:dyDescent="0.35">
      <c r="A51" s="5">
        <v>19</v>
      </c>
      <c r="B51" s="6">
        <v>185771</v>
      </c>
    </row>
    <row r="52" spans="1:2" x14ac:dyDescent="0.35">
      <c r="A52" s="5">
        <v>20</v>
      </c>
      <c r="B52" s="6">
        <v>186426</v>
      </c>
    </row>
    <row r="53" spans="1:2" x14ac:dyDescent="0.35">
      <c r="A53" s="5">
        <v>21</v>
      </c>
      <c r="B53" s="6">
        <v>155466</v>
      </c>
    </row>
    <row r="54" spans="1:2" x14ac:dyDescent="0.35">
      <c r="A54" s="5">
        <v>22</v>
      </c>
      <c r="B54" s="6">
        <v>125912</v>
      </c>
    </row>
    <row r="55" spans="1:2" x14ac:dyDescent="0.35">
      <c r="A55" s="5">
        <v>23</v>
      </c>
      <c r="B55" s="6">
        <v>168511</v>
      </c>
    </row>
    <row r="56" spans="1:2" x14ac:dyDescent="0.35">
      <c r="A56" s="5" t="s">
        <v>1004</v>
      </c>
      <c r="B56"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25C60F7-2FE2-43BD-9B47-3CC319846E00}">
  <ds:schemaRefs/>
</ds:datastoreItem>
</file>

<file path=customXml/itemProps2.xml><?xml version="1.0" encoding="utf-8"?>
<ds:datastoreItem xmlns:ds="http://schemas.openxmlformats.org/officeDocument/2006/customXml" ds:itemID="{25FA6C19-3483-4127-8577-2F8E62BEA803}">
  <ds:schemaRefs/>
</ds:datastoreItem>
</file>

<file path=customXml/itemProps3.xml><?xml version="1.0" encoding="utf-8"?>
<ds:datastoreItem xmlns:ds="http://schemas.openxmlformats.org/officeDocument/2006/customXml" ds:itemID="{8EFD5137-EDE3-4658-94A7-A4B5AF0C4A88}">
  <ds:schemaRefs>
    <ds:schemaRef ds:uri="http://schemas.microsoft.com/DataMashup"/>
  </ds:schemaRefs>
</ds:datastoreItem>
</file>

<file path=customXml/itemProps4.xml><?xml version="1.0" encoding="utf-8"?>
<ds:datastoreItem xmlns:ds="http://schemas.openxmlformats.org/officeDocument/2006/customXml" ds:itemID="{933CDBF9-C44A-45C8-BC32-F80C10326159}">
  <ds:schemaRefs/>
</ds:datastoreItem>
</file>

<file path=customXml/itemProps5.xml><?xml version="1.0" encoding="utf-8"?>
<ds:datastoreItem xmlns:ds="http://schemas.openxmlformats.org/officeDocument/2006/customXml" ds:itemID="{6B85BD6D-518C-4B54-9A04-ACD0A2232CEC}">
  <ds:schemaRefs/>
</ds:datastoreItem>
</file>

<file path=customXml/itemProps6.xml><?xml version="1.0" encoding="utf-8"?>
<ds:datastoreItem xmlns:ds="http://schemas.openxmlformats.org/officeDocument/2006/customXml" ds:itemID="{FEE250DA-8ADA-4FD7-9BD3-DC0F597C112A}">
  <ds:schemaRefs/>
</ds:datastoreItem>
</file>

<file path=customXml/itemProps7.xml><?xml version="1.0" encoding="utf-8"?>
<ds:datastoreItem xmlns:ds="http://schemas.openxmlformats.org/officeDocument/2006/customXml" ds:itemID="{E4060FA9-7E5A-409F-A08B-F5F8EFE2815D}">
  <ds:schemaRefs/>
</ds:datastoreItem>
</file>

<file path=customXml/itemProps8.xml><?xml version="1.0" encoding="utf-8"?>
<ds:datastoreItem xmlns:ds="http://schemas.openxmlformats.org/officeDocument/2006/customXml" ds:itemID="{44A74642-84DC-4515-A38F-27A26F321B53}">
  <ds:schemaRefs/>
</ds:datastoreItem>
</file>

<file path=customXml/itemProps9.xml><?xml version="1.0" encoding="utf-8"?>
<ds:datastoreItem xmlns:ds="http://schemas.openxmlformats.org/officeDocument/2006/customXml" ds:itemID="{3649BB1E-79A4-4075-BE72-88976BB761F1}">
  <ds:schemaRefs/>
</ds:datastoreItem>
</file>

<file path=customXml/itemProps10.xml><?xml version="1.0" encoding="utf-8"?>
<ds:datastoreItem xmlns:ds="http://schemas.openxmlformats.org/officeDocument/2006/customXml" ds:itemID="{966BDD8C-C649-41F9-8181-3CAE72BB2D87}">
  <ds:schemaRefs/>
</ds:datastoreItem>
</file>

<file path=customXml/itemProps11.xml><?xml version="1.0" encoding="utf-8"?>
<ds:datastoreItem xmlns:ds="http://schemas.openxmlformats.org/officeDocument/2006/customXml" ds:itemID="{9331326A-9897-4AC8-915A-05A906DACB47}">
  <ds:schemaRefs/>
</ds:datastoreItem>
</file>

<file path=customXml/itemProps12.xml><?xml version="1.0" encoding="utf-8"?>
<ds:datastoreItem xmlns:ds="http://schemas.openxmlformats.org/officeDocument/2006/customXml" ds:itemID="{0B505DF8-A6A3-472A-A3CC-4E9E22117448}">
  <ds:schemaRefs/>
</ds:datastoreItem>
</file>

<file path=customXml/itemProps13.xml><?xml version="1.0" encoding="utf-8"?>
<ds:datastoreItem xmlns:ds="http://schemas.openxmlformats.org/officeDocument/2006/customXml" ds:itemID="{2C18A8AA-3D6E-4347-8906-89E469F79434}">
  <ds:schemaRefs/>
</ds:datastoreItem>
</file>

<file path=customXml/itemProps14.xml><?xml version="1.0" encoding="utf-8"?>
<ds:datastoreItem xmlns:ds="http://schemas.openxmlformats.org/officeDocument/2006/customXml" ds:itemID="{9A7DDE4B-2B1A-4F28-94BA-143C1DCB9BDD}">
  <ds:schemaRefs/>
</ds:datastoreItem>
</file>

<file path=customXml/itemProps15.xml><?xml version="1.0" encoding="utf-8"?>
<ds:datastoreItem xmlns:ds="http://schemas.openxmlformats.org/officeDocument/2006/customXml" ds:itemID="{5D61BDA6-F56C-43C4-8222-7DC751F41489}">
  <ds:schemaRefs/>
</ds:datastoreItem>
</file>

<file path=customXml/itemProps16.xml><?xml version="1.0" encoding="utf-8"?>
<ds:datastoreItem xmlns:ds="http://schemas.openxmlformats.org/officeDocument/2006/customXml" ds:itemID="{559E3F5F-F297-4FA3-826F-E82B3DD339BB}">
  <ds:schemaRefs/>
</ds:datastoreItem>
</file>

<file path=customXml/itemProps17.xml><?xml version="1.0" encoding="utf-8"?>
<ds:datastoreItem xmlns:ds="http://schemas.openxmlformats.org/officeDocument/2006/customXml" ds:itemID="{BB648212-ECDB-49EA-B5A2-55C07803CD8F}">
  <ds:schemaRefs/>
</ds:datastoreItem>
</file>

<file path=customXml/itemProps18.xml><?xml version="1.0" encoding="utf-8"?>
<ds:datastoreItem xmlns:ds="http://schemas.openxmlformats.org/officeDocument/2006/customXml" ds:itemID="{06740CE8-E463-469D-811D-005605A07451}">
  <ds:schemaRefs/>
</ds:datastoreItem>
</file>

<file path=customXml/itemProps19.xml><?xml version="1.0" encoding="utf-8"?>
<ds:datastoreItem xmlns:ds="http://schemas.openxmlformats.org/officeDocument/2006/customXml" ds:itemID="{4AE072D1-9B88-48FB-8DEB-BFC8B7534B4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mehar teja</dc:creator>
  <cp:lastModifiedBy>rakesh T</cp:lastModifiedBy>
  <dcterms:created xsi:type="dcterms:W3CDTF">2026-02-23T16:22:23Z</dcterms:created>
  <dcterms:modified xsi:type="dcterms:W3CDTF">2026-02-25T17:38:52Z</dcterms:modified>
</cp:coreProperties>
</file>